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Q" sheetId="1" state="visible" r:id="rId1"/>
    <sheet name="Title" sheetId="2" state="visible" r:id="rId2"/>
    <sheet name="BOM" sheetId="3" state="visible" r:id="rId3"/>
    <sheet name="Locations" sheetId="4" state="visible" r:id="rId4"/>
    <sheet name="Abstract" sheetId="5" state="visible" r:id="rId5"/>
    <sheet name="Bolts" sheetId="6" state="visible" r:id="rId6"/>
    <sheet name="Revisions" sheetId="7" state="visible" r:id="rId7"/>
    <sheet name="Notes" sheetId="8" state="visible" r:id="rId8"/>
    <sheet name="Views" sheetId="9" state="visible" r:id="rId9"/>
    <sheet name="Checks" sheetId="10" state="visible" r:id="rId10"/>
    <sheet name="Inv Summary" sheetId="11" state="visible" r:id="rId11"/>
    <sheet name="Inv Plates" sheetId="12" state="visible" r:id="rId12"/>
    <sheet name="Inv Sections" sheetId="13" state="visible" r:id="rId13"/>
    <sheet name="Inv Fasteners" sheetId="14" state="visible" r:id="rId14"/>
    <sheet name="Inv Welds" sheetId="15" state="visible" r:id="rId15"/>
    <sheet name="Inv Review" sheetId="16" state="visible" r:id="rId16"/>
    <sheet name="Inv Check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9"/>
  <sheetViews>
    <sheetView workbookViewId="0">
      <selection activeCell="A1" sqref="A1"/>
    </sheetView>
  </sheetViews>
  <sheetFormatPr baseColWidth="8" defaultRowHeight="15"/>
  <sheetData>
    <row r="1">
      <c r="J1">
        <f>SUBTOTAL(9,J3:J105848)</f>
        <v/>
      </c>
      <c r="L1">
        <f>SUBTOTAL(9,L3:L105848)</f>
        <v/>
      </c>
      <c r="M1">
        <f>SUBTOTAL(9,M3:M105848)</f>
        <v/>
      </c>
      <c r="N1">
        <f>SUBTOTAL(9,N3:N105848)</f>
        <v/>
      </c>
      <c r="O1">
        <f>SUBTOTAL(9,O3:O105848)</f>
        <v/>
      </c>
      <c r="P1">
        <f>SUBTOTAL(9,P3:P105848)</f>
        <v/>
      </c>
    </row>
    <row r="2">
      <c r="A2" t="inlineStr">
        <is>
          <t>DRAWING NO</t>
        </is>
      </c>
      <c r="B2" t="inlineStr">
        <is>
          <t>ITEM TYPE</t>
        </is>
      </c>
      <c r="C2" t="inlineStr">
        <is>
          <t>MARK NO</t>
        </is>
      </c>
      <c r="D2" t="inlineStr">
        <is>
          <t>ITEMNO</t>
        </is>
      </c>
      <c r="E2" t="inlineStr">
        <is>
          <t>SECTION</t>
        </is>
      </c>
      <c r="F2" t="inlineStr">
        <is>
          <t>WIDTH</t>
        </is>
      </c>
      <c r="G2" t="inlineStr">
        <is>
          <t>LENGTH</t>
        </is>
      </c>
      <c r="H2" t="inlineStr">
        <is>
          <t>QTY</t>
        </is>
      </c>
      <c r="I2" t="inlineStr">
        <is>
          <t>FAB QTY</t>
        </is>
      </c>
      <c r="J2" t="inlineStr">
        <is>
          <t>TOTAL QTY</t>
        </is>
      </c>
      <c r="K2" t="inlineStr">
        <is>
          <t>UNIT WT</t>
        </is>
      </c>
      <c r="L2" t="inlineStr">
        <is>
          <t xml:space="preserve"> CALCULATED WT</t>
        </is>
      </c>
      <c r="M2" t="inlineStr">
        <is>
          <t>TOTAL CALCULATED WT</t>
        </is>
      </c>
      <c r="N2" t="inlineStr">
        <is>
          <t>WT</t>
        </is>
      </c>
      <c r="O2" t="inlineStr">
        <is>
          <t>TOTAL DRG WT</t>
        </is>
      </c>
      <c r="P2" t="inlineStr">
        <is>
          <t>DIFFRENCE</t>
        </is>
      </c>
      <c r="Q2" t="inlineStr">
        <is>
          <t>GRADE</t>
        </is>
      </c>
      <c r="R2" t="inlineStr">
        <is>
          <t>UNIT WT SOURCE</t>
        </is>
      </c>
      <c r="S2" t="inlineStr">
        <is>
          <t>NOTE</t>
        </is>
      </c>
    </row>
    <row r="3">
      <c r="A3" t="inlineStr">
        <is>
          <t>TST-SFD-46-01-01-07-000-14281</t>
        </is>
      </c>
      <c r="B3" t="inlineStr">
        <is>
          <t>COLUMN</t>
        </is>
      </c>
      <c r="C3" t="inlineStr">
        <is>
          <t>3C2</t>
        </is>
      </c>
      <c r="D3" t="inlineStr">
        <is>
          <t>3C2 flange</t>
        </is>
      </c>
      <c r="E3" t="inlineStr">
        <is>
          <t>PL40</t>
        </is>
      </c>
      <c r="F3" t="n">
        <v>500</v>
      </c>
      <c r="G3" t="n">
        <v>7989.5</v>
      </c>
      <c r="H3" t="n">
        <v>2</v>
      </c>
      <c r="I3" t="n">
        <v>1</v>
      </c>
      <c r="J3">
        <f>H3*I3</f>
        <v/>
      </c>
      <c r="K3">
        <f>7.85*40</f>
        <v/>
      </c>
      <c r="L3">
        <f>(F3/1000)*(G3/1000)*H3*K3</f>
        <v/>
      </c>
      <c r="M3">
        <f>L3*I3</f>
        <v/>
      </c>
      <c r="N3" t="n">
        <v>2508.7025</v>
      </c>
      <c r="O3">
        <f>N3*I3</f>
        <v/>
      </c>
      <c r="P3">
        <f>M3-O3</f>
        <v/>
      </c>
      <c r="Q3" t="inlineStr">
        <is>
          <t>E350BR(UT)</t>
        </is>
      </c>
      <c r="R3" t="inlineStr">
        <is>
          <t>7.85 x t</t>
        </is>
      </c>
      <c r="S3" t="inlineStr">
        <is>
          <t>WH1200X500X40X32 decomposed into plates; WT shared by plate weight</t>
        </is>
      </c>
    </row>
    <row r="4">
      <c r="A4" t="inlineStr">
        <is>
          <t>TST-SFD-46-01-01-07-000-14281</t>
        </is>
      </c>
      <c r="B4" t="inlineStr">
        <is>
          <t>COLUMN</t>
        </is>
      </c>
      <c r="C4" t="inlineStr">
        <is>
          <t>3C2</t>
        </is>
      </c>
      <c r="D4" t="inlineStr">
        <is>
          <t>3C2 web</t>
        </is>
      </c>
      <c r="E4" t="inlineStr">
        <is>
          <t>PL32</t>
        </is>
      </c>
      <c r="F4" t="n">
        <v>1120</v>
      </c>
      <c r="G4" t="n">
        <v>7989.5</v>
      </c>
      <c r="H4" t="n">
        <v>1</v>
      </c>
      <c r="I4" t="n">
        <v>1</v>
      </c>
      <c r="J4">
        <f>H4*I4</f>
        <v/>
      </c>
      <c r="K4">
        <f>7.85*32</f>
        <v/>
      </c>
      <c r="L4">
        <f>(F4/1000)*(G4/1000)*H4*K4</f>
        <v/>
      </c>
      <c r="M4">
        <f>L4*I4</f>
        <v/>
      </c>
      <c r="N4" t="n">
        <v>2247.7975</v>
      </c>
      <c r="O4">
        <f>N4*I4</f>
        <v/>
      </c>
      <c r="P4">
        <f>M4-O4</f>
        <v/>
      </c>
      <c r="Q4" t="inlineStr">
        <is>
          <t>E350BR(UT)</t>
        </is>
      </c>
      <c r="R4" t="inlineStr">
        <is>
          <t>7.85 x t</t>
        </is>
      </c>
      <c r="S4" t="inlineStr">
        <is>
          <t>WH1200X500X40X32 decomposed into plates; WT shared by plate weight</t>
        </is>
      </c>
    </row>
    <row r="5">
      <c r="A5" t="inlineStr">
        <is>
          <t>TST-SFD-46-01-01-07-000-14281</t>
        </is>
      </c>
      <c r="B5" t="inlineStr">
        <is>
          <t>COLUMN</t>
        </is>
      </c>
      <c r="C5" t="inlineStr">
        <is>
          <t>3C2</t>
        </is>
      </c>
      <c r="D5" t="inlineStr">
        <is>
          <t>3m471 flange</t>
        </is>
      </c>
      <c r="E5" t="inlineStr">
        <is>
          <t>PL40</t>
        </is>
      </c>
      <c r="F5" t="n">
        <v>500</v>
      </c>
      <c r="G5" t="n">
        <v>7589.5</v>
      </c>
      <c r="H5" t="n">
        <v>2</v>
      </c>
      <c r="I5" t="n">
        <v>1</v>
      </c>
      <c r="J5">
        <f>H5*I5</f>
        <v/>
      </c>
      <c r="K5">
        <f>7.85*40</f>
        <v/>
      </c>
      <c r="L5">
        <f>(F5/1000)*(G5/1000)*H5*K5</f>
        <v/>
      </c>
      <c r="M5">
        <f>L5*I5</f>
        <v/>
      </c>
      <c r="N5" t="n">
        <v>2383.1013</v>
      </c>
      <c r="O5">
        <f>N5*I5</f>
        <v/>
      </c>
      <c r="P5">
        <f>M5-O5</f>
        <v/>
      </c>
      <c r="Q5" t="inlineStr">
        <is>
          <t>E350BR(UT)</t>
        </is>
      </c>
      <c r="R5" t="inlineStr">
        <is>
          <t>7.85 x t</t>
        </is>
      </c>
      <c r="S5" t="inlineStr">
        <is>
          <t>WH1200X500X40X32 decomposed into plates; WT shared by plate weight</t>
        </is>
      </c>
    </row>
    <row r="6">
      <c r="A6" t="inlineStr">
        <is>
          <t>TST-SFD-46-01-01-07-000-14281</t>
        </is>
      </c>
      <c r="B6" t="inlineStr">
        <is>
          <t>COLUMN</t>
        </is>
      </c>
      <c r="C6" t="inlineStr">
        <is>
          <t>3C2</t>
        </is>
      </c>
      <c r="D6" t="inlineStr">
        <is>
          <t>3m471 web</t>
        </is>
      </c>
      <c r="E6" t="inlineStr">
        <is>
          <t>PL32</t>
        </is>
      </c>
      <c r="F6" t="n">
        <v>1120</v>
      </c>
      <c r="G6" t="n">
        <v>7589.5</v>
      </c>
      <c r="H6" t="n">
        <v>1</v>
      </c>
      <c r="I6" t="n">
        <v>1</v>
      </c>
      <c r="J6">
        <f>H6*I6</f>
        <v/>
      </c>
      <c r="K6">
        <f>7.85*32</f>
        <v/>
      </c>
      <c r="L6">
        <f>(F6/1000)*(G6/1000)*H6*K6</f>
        <v/>
      </c>
      <c r="M6">
        <f>L6*I6</f>
        <v/>
      </c>
      <c r="N6" t="n">
        <v>2135.2587</v>
      </c>
      <c r="O6">
        <f>N6*I6</f>
        <v/>
      </c>
      <c r="P6">
        <f>M6-O6</f>
        <v/>
      </c>
      <c r="Q6" t="inlineStr">
        <is>
          <t>E350BR(UT)</t>
        </is>
      </c>
      <c r="R6" t="inlineStr">
        <is>
          <t>7.85 x t</t>
        </is>
      </c>
      <c r="S6" t="inlineStr">
        <is>
          <t>WH1200X500X40X32 decomposed into plates; WT shared by plate weight</t>
        </is>
      </c>
    </row>
    <row r="7">
      <c r="A7" t="inlineStr">
        <is>
          <t>TST-SFD-46-01-01-07-000-14281</t>
        </is>
      </c>
      <c r="B7" t="inlineStr">
        <is>
          <t>COLUMN</t>
        </is>
      </c>
      <c r="C7" t="inlineStr">
        <is>
          <t>3C2</t>
        </is>
      </c>
      <c r="D7" t="inlineStr">
        <is>
          <t>3m484</t>
        </is>
      </c>
      <c r="E7" t="inlineStr">
        <is>
          <t>ISA50X50X6</t>
        </is>
      </c>
      <c r="G7" t="n">
        <v>809</v>
      </c>
      <c r="H7" t="n">
        <v>7</v>
      </c>
      <c r="I7" t="n">
        <v>1</v>
      </c>
      <c r="J7">
        <f>H7*I7</f>
        <v/>
      </c>
      <c r="K7" t="n">
        <v>4.5</v>
      </c>
      <c r="L7">
        <f>(G7/1000)*H7*K7</f>
        <v/>
      </c>
      <c r="M7">
        <f>L7*I7</f>
        <v/>
      </c>
      <c r="N7" t="n">
        <v>25.25</v>
      </c>
      <c r="O7">
        <f>N7*I7</f>
        <v/>
      </c>
      <c r="P7">
        <f>M7-O7</f>
        <v/>
      </c>
      <c r="Q7" t="inlineStr">
        <is>
          <t>E250A</t>
        </is>
      </c>
      <c r="R7" t="inlineStr">
        <is>
          <t>IS 808 table</t>
        </is>
      </c>
      <c r="S7" t="inlineStr"/>
    </row>
    <row r="8">
      <c r="A8" t="inlineStr">
        <is>
          <t>TST-SFD-46-01-01-07-000-14281</t>
        </is>
      </c>
      <c r="B8" t="inlineStr">
        <is>
          <t>COLUMN</t>
        </is>
      </c>
      <c r="C8" t="inlineStr">
        <is>
          <t>3C2</t>
        </is>
      </c>
      <c r="D8" t="inlineStr">
        <is>
          <t>3m496 flange</t>
        </is>
      </c>
      <c r="E8" t="inlineStr">
        <is>
          <t>PL40</t>
        </is>
      </c>
      <c r="F8" t="n">
        <v>500</v>
      </c>
      <c r="G8" t="n">
        <v>6764.5</v>
      </c>
      <c r="H8" t="n">
        <v>2</v>
      </c>
      <c r="I8" t="n">
        <v>1</v>
      </c>
      <c r="J8">
        <f>H8*I8</f>
        <v/>
      </c>
      <c r="K8">
        <f>7.85*40</f>
        <v/>
      </c>
      <c r="L8">
        <f>(F8/1000)*(G8/1000)*H8*K8</f>
        <v/>
      </c>
      <c r="M8">
        <f>L8*I8</f>
        <v/>
      </c>
      <c r="N8" t="n">
        <v>2124.0506</v>
      </c>
      <c r="O8">
        <f>N8*I8</f>
        <v/>
      </c>
      <c r="P8">
        <f>M8-O8</f>
        <v/>
      </c>
      <c r="Q8" t="inlineStr">
        <is>
          <t>E350BR(UT)</t>
        </is>
      </c>
      <c r="R8" t="inlineStr">
        <is>
          <t>7.85 x t</t>
        </is>
      </c>
      <c r="S8" t="inlineStr">
        <is>
          <t>WH1200X500X40X32 decomposed into plates; WT shared by plate weight</t>
        </is>
      </c>
    </row>
    <row r="9">
      <c r="A9" t="inlineStr">
        <is>
          <t>TST-SFD-46-01-01-07-000-14281</t>
        </is>
      </c>
      <c r="B9" t="inlineStr">
        <is>
          <t>COLUMN</t>
        </is>
      </c>
      <c r="C9" t="inlineStr">
        <is>
          <t>3C2</t>
        </is>
      </c>
      <c r="D9" t="inlineStr">
        <is>
          <t>3m496 web</t>
        </is>
      </c>
      <c r="E9" t="inlineStr">
        <is>
          <t>PL32</t>
        </is>
      </c>
      <c r="F9" t="n">
        <v>1120</v>
      </c>
      <c r="G9" t="n">
        <v>6764.5</v>
      </c>
      <c r="H9" t="n">
        <v>1</v>
      </c>
      <c r="I9" t="n">
        <v>1</v>
      </c>
      <c r="J9">
        <f>H9*I9</f>
        <v/>
      </c>
      <c r="K9">
        <f>7.85*32</f>
        <v/>
      </c>
      <c r="L9">
        <f>(F9/1000)*(G9/1000)*H9*K9</f>
        <v/>
      </c>
      <c r="M9">
        <f>L9*I9</f>
        <v/>
      </c>
      <c r="N9" t="n">
        <v>1903.1494</v>
      </c>
      <c r="O9">
        <f>N9*I9</f>
        <v/>
      </c>
      <c r="P9">
        <f>M9-O9</f>
        <v/>
      </c>
      <c r="Q9" t="inlineStr">
        <is>
          <t>E350BR(UT)</t>
        </is>
      </c>
      <c r="R9" t="inlineStr">
        <is>
          <t>7.85 x t</t>
        </is>
      </c>
      <c r="S9" t="inlineStr">
        <is>
          <t>WH1200X500X40X32 decomposed into plates; WT shared by plate weight</t>
        </is>
      </c>
    </row>
    <row r="10">
      <c r="A10" t="inlineStr">
        <is>
          <t>TST-SFD-46-01-01-07-000-14281</t>
        </is>
      </c>
      <c r="B10" t="inlineStr">
        <is>
          <t>COLUMN</t>
        </is>
      </c>
      <c r="C10" t="inlineStr">
        <is>
          <t>3C2</t>
        </is>
      </c>
      <c r="D10" t="inlineStr">
        <is>
          <t>3m497 flange</t>
        </is>
      </c>
      <c r="E10" t="inlineStr">
        <is>
          <t>PL40</t>
        </is>
      </c>
      <c r="F10" t="n">
        <v>500</v>
      </c>
      <c r="G10" t="n">
        <v>7164.5</v>
      </c>
      <c r="H10" t="n">
        <v>2</v>
      </c>
      <c r="I10" t="n">
        <v>1</v>
      </c>
      <c r="J10">
        <f>H10*I10</f>
        <v/>
      </c>
      <c r="K10">
        <f>7.85*40</f>
        <v/>
      </c>
      <c r="L10">
        <f>(F10/1000)*(G10/1000)*H10*K10</f>
        <v/>
      </c>
      <c r="M10">
        <f>L10*I10</f>
        <v/>
      </c>
      <c r="N10" t="n">
        <v>2249.6519</v>
      </c>
      <c r="O10">
        <f>N10*I10</f>
        <v/>
      </c>
      <c r="P10">
        <f>M10-O10</f>
        <v/>
      </c>
      <c r="Q10" t="inlineStr">
        <is>
          <t>E350BR(UT)</t>
        </is>
      </c>
      <c r="R10" t="inlineStr">
        <is>
          <t>7.85 x t</t>
        </is>
      </c>
      <c r="S10" t="inlineStr">
        <is>
          <t>WH1200X500X40X32 decomposed into plates; WT shared by plate weight</t>
        </is>
      </c>
    </row>
    <row r="11">
      <c r="A11" t="inlineStr">
        <is>
          <t>TST-SFD-46-01-01-07-000-14281</t>
        </is>
      </c>
      <c r="B11" t="inlineStr">
        <is>
          <t>COLUMN</t>
        </is>
      </c>
      <c r="C11" t="inlineStr">
        <is>
          <t>3C2</t>
        </is>
      </c>
      <c r="D11" t="inlineStr">
        <is>
          <t>3m497 web</t>
        </is>
      </c>
      <c r="E11" t="inlineStr">
        <is>
          <t>PL32</t>
        </is>
      </c>
      <c r="F11" t="n">
        <v>1120</v>
      </c>
      <c r="G11" t="n">
        <v>7164.5</v>
      </c>
      <c r="H11" t="n">
        <v>1</v>
      </c>
      <c r="I11" t="n">
        <v>1</v>
      </c>
      <c r="J11">
        <f>H11*I11</f>
        <v/>
      </c>
      <c r="K11">
        <f>7.85*32</f>
        <v/>
      </c>
      <c r="L11">
        <f>(F11/1000)*(G11/1000)*H11*K11</f>
        <v/>
      </c>
      <c r="M11">
        <f>L11*I11</f>
        <v/>
      </c>
      <c r="N11" t="n">
        <v>2015.6881</v>
      </c>
      <c r="O11">
        <f>N11*I11</f>
        <v/>
      </c>
      <c r="P11">
        <f>M11-O11</f>
        <v/>
      </c>
      <c r="Q11" t="inlineStr">
        <is>
          <t>E350BR(UT)</t>
        </is>
      </c>
      <c r="R11" t="inlineStr">
        <is>
          <t>7.85 x t</t>
        </is>
      </c>
      <c r="S11" t="inlineStr">
        <is>
          <t>WH1200X500X40X32 decomposed into plates; WT shared by plate weight</t>
        </is>
      </c>
    </row>
    <row r="12">
      <c r="A12" t="inlineStr">
        <is>
          <t>TST-SFD-46-01-01-07-000-14281</t>
        </is>
      </c>
      <c r="B12" t="inlineStr">
        <is>
          <t>COLUMN</t>
        </is>
      </c>
      <c r="C12" t="inlineStr">
        <is>
          <t>3C2</t>
        </is>
      </c>
      <c r="D12" t="inlineStr">
        <is>
          <t>3m503 flange</t>
        </is>
      </c>
      <c r="E12" t="inlineStr">
        <is>
          <t>PL16</t>
        </is>
      </c>
      <c r="F12" t="n">
        <v>300</v>
      </c>
      <c r="G12" t="n">
        <v>2468</v>
      </c>
      <c r="H12" t="n">
        <v>2</v>
      </c>
      <c r="I12" t="n">
        <v>1</v>
      </c>
      <c r="J12">
        <f>H12*I12</f>
        <v/>
      </c>
      <c r="K12">
        <f>7.85*16</f>
        <v/>
      </c>
      <c r="L12">
        <f>(F12/1000)*(G12/1000)*H12*K12</f>
        <v/>
      </c>
      <c r="M12">
        <f>L12*I12</f>
        <v/>
      </c>
      <c r="N12" t="n">
        <v>185.9899</v>
      </c>
      <c r="O12">
        <f>N12*I12</f>
        <v/>
      </c>
      <c r="P12">
        <f>M12-O12</f>
        <v/>
      </c>
      <c r="Q12" t="inlineStr">
        <is>
          <t>E350A</t>
        </is>
      </c>
      <c r="R12" t="inlineStr">
        <is>
          <t>7.85 x t</t>
        </is>
      </c>
      <c r="S12" t="inlineStr">
        <is>
          <t>WH500X300X16X10 decomposed into plates; WT shared by plate weight</t>
        </is>
      </c>
    </row>
    <row r="13">
      <c r="A13" t="inlineStr">
        <is>
          <t>TST-SFD-46-01-01-07-000-14281</t>
        </is>
      </c>
      <c r="B13" t="inlineStr">
        <is>
          <t>COLUMN</t>
        </is>
      </c>
      <c r="C13" t="inlineStr">
        <is>
          <t>3C2</t>
        </is>
      </c>
      <c r="D13" t="inlineStr">
        <is>
          <t>3m503 web</t>
        </is>
      </c>
      <c r="E13" t="inlineStr">
        <is>
          <t>PL10</t>
        </is>
      </c>
      <c r="F13" t="n">
        <v>468</v>
      </c>
      <c r="G13" t="n">
        <v>2468</v>
      </c>
      <c r="H13" t="n">
        <v>1</v>
      </c>
      <c r="I13" t="n">
        <v>1</v>
      </c>
      <c r="J13">
        <f>H13*I13</f>
        <v/>
      </c>
      <c r="K13">
        <f>7.85*10</f>
        <v/>
      </c>
      <c r="L13">
        <f>(F13/1000)*(G13/1000)*H13*K13</f>
        <v/>
      </c>
      <c r="M13">
        <f>L13*I13</f>
        <v/>
      </c>
      <c r="N13" t="n">
        <v>90.67010000000001</v>
      </c>
      <c r="O13">
        <f>N13*I13</f>
        <v/>
      </c>
      <c r="P13">
        <f>M13-O13</f>
        <v/>
      </c>
      <c r="Q13" t="inlineStr">
        <is>
          <t>E350A</t>
        </is>
      </c>
      <c r="R13" t="inlineStr">
        <is>
          <t>7.85 x t</t>
        </is>
      </c>
      <c r="S13" t="inlineStr">
        <is>
          <t>WH500X300X16X10 decomposed into plates; WT shared by plate weight</t>
        </is>
      </c>
    </row>
    <row r="14">
      <c r="A14" t="inlineStr">
        <is>
          <t>TST-SFD-46-01-01-07-000-14281</t>
        </is>
      </c>
      <c r="B14" t="inlineStr">
        <is>
          <t>COLUMN</t>
        </is>
      </c>
      <c r="C14" t="inlineStr">
        <is>
          <t>3C2</t>
        </is>
      </c>
      <c r="D14" t="inlineStr">
        <is>
          <t>3m504 flange</t>
        </is>
      </c>
      <c r="E14" t="inlineStr">
        <is>
          <t>PL20</t>
        </is>
      </c>
      <c r="F14" t="n">
        <v>500</v>
      </c>
      <c r="G14" t="n">
        <v>2468</v>
      </c>
      <c r="H14" t="n">
        <v>8</v>
      </c>
      <c r="I14" t="n">
        <v>1</v>
      </c>
      <c r="J14">
        <f>H14*I14</f>
        <v/>
      </c>
      <c r="K14">
        <f>7.85*20</f>
        <v/>
      </c>
      <c r="L14">
        <f>(F14/1000)*(G14/1000)*H14*K14</f>
        <v/>
      </c>
      <c r="M14">
        <f>L14*I14</f>
        <v/>
      </c>
      <c r="N14" t="n">
        <v>1549.9068</v>
      </c>
      <c r="O14">
        <f>N14*I14</f>
        <v/>
      </c>
      <c r="P14">
        <f>M14-O14</f>
        <v/>
      </c>
      <c r="Q14" t="inlineStr">
        <is>
          <t>E350A</t>
        </is>
      </c>
      <c r="R14" t="inlineStr">
        <is>
          <t>7.85 x t</t>
        </is>
      </c>
      <c r="S14" t="inlineStr">
        <is>
          <t>WH400X500X20X10 decomposed into plates; WT shared by plate weight</t>
        </is>
      </c>
    </row>
    <row r="15">
      <c r="A15" t="inlineStr">
        <is>
          <t>TST-SFD-46-01-01-07-000-14281</t>
        </is>
      </c>
      <c r="B15" t="inlineStr">
        <is>
          <t>COLUMN</t>
        </is>
      </c>
      <c r="C15" t="inlineStr">
        <is>
          <t>3C2</t>
        </is>
      </c>
      <c r="D15" t="inlineStr">
        <is>
          <t>3m504 web</t>
        </is>
      </c>
      <c r="E15" t="inlineStr">
        <is>
          <t>PL10</t>
        </is>
      </c>
      <c r="F15" t="n">
        <v>360</v>
      </c>
      <c r="G15" t="n">
        <v>2468</v>
      </c>
      <c r="H15" t="n">
        <v>4</v>
      </c>
      <c r="I15" t="n">
        <v>1</v>
      </c>
      <c r="J15">
        <f>H15*I15</f>
        <v/>
      </c>
      <c r="K15">
        <f>7.85*10</f>
        <v/>
      </c>
      <c r="L15">
        <f>(F15/1000)*(G15/1000)*H15*K15</f>
        <v/>
      </c>
      <c r="M15">
        <f>L15*I15</f>
        <v/>
      </c>
      <c r="N15" t="n">
        <v>278.9832</v>
      </c>
      <c r="O15">
        <f>N15*I15</f>
        <v/>
      </c>
      <c r="P15">
        <f>M15-O15</f>
        <v/>
      </c>
      <c r="Q15" t="inlineStr">
        <is>
          <t>E350A</t>
        </is>
      </c>
      <c r="R15" t="inlineStr">
        <is>
          <t>7.85 x t</t>
        </is>
      </c>
      <c r="S15" t="inlineStr">
        <is>
          <t>WH400X500X20X10 decomposed into plates; WT shared by plate weight</t>
        </is>
      </c>
    </row>
    <row r="16">
      <c r="A16" t="inlineStr">
        <is>
          <t>TST-SFD-46-01-01-07-000-14281</t>
        </is>
      </c>
      <c r="B16" t="inlineStr">
        <is>
          <t>COLUMN</t>
        </is>
      </c>
      <c r="C16" t="inlineStr">
        <is>
          <t>3C2</t>
        </is>
      </c>
      <c r="D16" t="inlineStr">
        <is>
          <t>3m505</t>
        </is>
      </c>
      <c r="E16" t="inlineStr">
        <is>
          <t>ISA200X200X20</t>
        </is>
      </c>
      <c r="G16" t="n">
        <v>1950</v>
      </c>
      <c r="H16" t="n">
        <v>4</v>
      </c>
      <c r="I16" t="n">
        <v>1</v>
      </c>
      <c r="J16">
        <f>H16*I16</f>
        <v/>
      </c>
      <c r="K16" t="n">
        <v>60</v>
      </c>
      <c r="L16">
        <f>(G16/1000)*H16*K16</f>
        <v/>
      </c>
      <c r="M16">
        <f>L16*I16</f>
        <v/>
      </c>
      <c r="N16" t="n">
        <v>467.8</v>
      </c>
      <c r="O16">
        <f>N16*I16</f>
        <v/>
      </c>
      <c r="P16">
        <f>M16-O16</f>
        <v/>
      </c>
      <c r="Q16" t="inlineStr">
        <is>
          <t>E250A</t>
        </is>
      </c>
      <c r="R16" t="inlineStr">
        <is>
          <t>IS 808 table</t>
        </is>
      </c>
      <c r="S16" t="inlineStr"/>
    </row>
    <row r="17">
      <c r="A17" t="inlineStr">
        <is>
          <t>TST-SFD-46-01-01-07-000-14281</t>
        </is>
      </c>
      <c r="B17" t="inlineStr">
        <is>
          <t>COLUMN</t>
        </is>
      </c>
      <c r="C17" t="inlineStr">
        <is>
          <t>3C2</t>
        </is>
      </c>
      <c r="D17" t="inlineStr">
        <is>
          <t>3m506</t>
        </is>
      </c>
      <c r="E17" t="inlineStr">
        <is>
          <t>ISA200X200X20</t>
        </is>
      </c>
      <c r="G17" t="n">
        <v>2607.8</v>
      </c>
      <c r="H17" t="n">
        <v>2</v>
      </c>
      <c r="I17" t="n">
        <v>1</v>
      </c>
      <c r="J17">
        <f>H17*I17</f>
        <v/>
      </c>
      <c r="K17" t="n">
        <v>60</v>
      </c>
      <c r="L17">
        <f>(G17/1000)*H17*K17</f>
        <v/>
      </c>
      <c r="M17">
        <f>L17*I17</f>
        <v/>
      </c>
      <c r="N17" t="n">
        <v>312.8</v>
      </c>
      <c r="O17">
        <f>N17*I17</f>
        <v/>
      </c>
      <c r="P17">
        <f>M17-O17</f>
        <v/>
      </c>
      <c r="Q17" t="inlineStr">
        <is>
          <t>E250A</t>
        </is>
      </c>
      <c r="R17" t="inlineStr">
        <is>
          <t>IS 808 table</t>
        </is>
      </c>
      <c r="S17" t="inlineStr"/>
    </row>
    <row r="18">
      <c r="A18" t="inlineStr">
        <is>
          <t>TST-SFD-46-01-01-07-000-14281</t>
        </is>
      </c>
      <c r="B18" t="inlineStr">
        <is>
          <t>COLUMN</t>
        </is>
      </c>
      <c r="C18" t="inlineStr">
        <is>
          <t>3C2</t>
        </is>
      </c>
      <c r="D18" t="inlineStr">
        <is>
          <t>3m507</t>
        </is>
      </c>
      <c r="E18" t="inlineStr">
        <is>
          <t>ISA200X200X20</t>
        </is>
      </c>
      <c r="G18" t="n">
        <v>2522.7</v>
      </c>
      <c r="H18" t="n">
        <v>2</v>
      </c>
      <c r="I18" t="n">
        <v>1</v>
      </c>
      <c r="J18">
        <f>H18*I18</f>
        <v/>
      </c>
      <c r="K18" t="n">
        <v>60</v>
      </c>
      <c r="L18">
        <f>(G18/1000)*H18*K18</f>
        <v/>
      </c>
      <c r="M18">
        <f>L18*I18</f>
        <v/>
      </c>
      <c r="N18" t="n">
        <v>302.59</v>
      </c>
      <c r="O18">
        <f>N18*I18</f>
        <v/>
      </c>
      <c r="P18">
        <f>M18-O18</f>
        <v/>
      </c>
      <c r="Q18" t="inlineStr">
        <is>
          <t>E250A</t>
        </is>
      </c>
      <c r="R18" t="inlineStr">
        <is>
          <t>IS 808 table</t>
        </is>
      </c>
      <c r="S18" t="inlineStr"/>
    </row>
    <row r="19">
      <c r="A19" t="inlineStr">
        <is>
          <t>TST-SFD-46-01-01-07-000-14281</t>
        </is>
      </c>
      <c r="B19" t="inlineStr">
        <is>
          <t>COLUMN</t>
        </is>
      </c>
      <c r="C19" t="inlineStr">
        <is>
          <t>3C2</t>
        </is>
      </c>
      <c r="D19" t="inlineStr">
        <is>
          <t>3m517</t>
        </is>
      </c>
      <c r="E19" t="inlineStr">
        <is>
          <t>ISA75X75X8</t>
        </is>
      </c>
      <c r="G19" t="n">
        <v>1138</v>
      </c>
      <c r="H19" t="n">
        <v>12</v>
      </c>
      <c r="I19" t="n">
        <v>1</v>
      </c>
      <c r="J19">
        <f>H19*I19</f>
        <v/>
      </c>
      <c r="K19" t="n">
        <v>8.9</v>
      </c>
      <c r="L19">
        <f>(G19/1000)*H19*K19</f>
        <v/>
      </c>
      <c r="M19">
        <f>L19*I19</f>
        <v/>
      </c>
      <c r="N19" t="n">
        <v>122.21</v>
      </c>
      <c r="O19">
        <f>N19*I19</f>
        <v/>
      </c>
      <c r="P19">
        <f>M19-O19</f>
        <v/>
      </c>
      <c r="Q19" t="inlineStr">
        <is>
          <t>E250A</t>
        </is>
      </c>
      <c r="R19" t="inlineStr">
        <is>
          <t>IS 808 table</t>
        </is>
      </c>
      <c r="S19" t="inlineStr"/>
    </row>
    <row r="20">
      <c r="A20" t="inlineStr">
        <is>
          <t>TST-SFD-46-01-01-07-000-14281</t>
        </is>
      </c>
      <c r="B20" t="inlineStr">
        <is>
          <t>COLUMN</t>
        </is>
      </c>
      <c r="C20" t="inlineStr">
        <is>
          <t>3C2</t>
        </is>
      </c>
      <c r="D20" t="inlineStr">
        <is>
          <t>3m518</t>
        </is>
      </c>
      <c r="E20" t="inlineStr">
        <is>
          <t>ISA75X75X8</t>
        </is>
      </c>
      <c r="G20" t="n">
        <v>1449.1</v>
      </c>
      <c r="H20" t="n">
        <v>2</v>
      </c>
      <c r="I20" t="n">
        <v>1</v>
      </c>
      <c r="J20">
        <f>H20*I20</f>
        <v/>
      </c>
      <c r="K20" t="n">
        <v>8.9</v>
      </c>
      <c r="L20">
        <f>(G20/1000)*H20*K20</f>
        <v/>
      </c>
      <c r="M20">
        <f>L20*I20</f>
        <v/>
      </c>
      <c r="N20" t="n">
        <v>25.94</v>
      </c>
      <c r="O20">
        <f>N20*I20</f>
        <v/>
      </c>
      <c r="P20">
        <f>M20-O20</f>
        <v/>
      </c>
      <c r="Q20" t="inlineStr">
        <is>
          <t>E250A</t>
        </is>
      </c>
      <c r="R20" t="inlineStr">
        <is>
          <t>IS 808 table</t>
        </is>
      </c>
      <c r="S20" t="inlineStr"/>
    </row>
    <row r="21">
      <c r="A21" t="inlineStr">
        <is>
          <t>TST-SFD-46-01-01-07-000-14281</t>
        </is>
      </c>
      <c r="B21" t="inlineStr">
        <is>
          <t>COLUMN</t>
        </is>
      </c>
      <c r="C21" t="inlineStr">
        <is>
          <t>3C2</t>
        </is>
      </c>
      <c r="D21" t="inlineStr">
        <is>
          <t>3m519</t>
        </is>
      </c>
      <c r="E21" t="inlineStr">
        <is>
          <t>ISA75X75X8</t>
        </is>
      </c>
      <c r="G21" t="n">
        <v>1449.1</v>
      </c>
      <c r="H21" t="n">
        <v>2</v>
      </c>
      <c r="I21" t="n">
        <v>1</v>
      </c>
      <c r="J21">
        <f>H21*I21</f>
        <v/>
      </c>
      <c r="K21" t="n">
        <v>8.9</v>
      </c>
      <c r="L21">
        <f>(G21/1000)*H21*K21</f>
        <v/>
      </c>
      <c r="M21">
        <f>L21*I21</f>
        <v/>
      </c>
      <c r="N21" t="n">
        <v>25.94</v>
      </c>
      <c r="O21">
        <f>N21*I21</f>
        <v/>
      </c>
      <c r="P21">
        <f>M21-O21</f>
        <v/>
      </c>
      <c r="Q21" t="inlineStr">
        <is>
          <t>E250A</t>
        </is>
      </c>
      <c r="R21" t="inlineStr">
        <is>
          <t>IS 808 table</t>
        </is>
      </c>
      <c r="S21" t="inlineStr"/>
    </row>
    <row r="22">
      <c r="A22" t="inlineStr">
        <is>
          <t>TST-SFD-46-01-01-07-000-14281</t>
        </is>
      </c>
      <c r="B22" t="inlineStr">
        <is>
          <t>COLUMN</t>
        </is>
      </c>
      <c r="C22" t="inlineStr">
        <is>
          <t>3C2</t>
        </is>
      </c>
      <c r="D22" t="inlineStr">
        <is>
          <t>3m520</t>
        </is>
      </c>
      <c r="E22" t="inlineStr">
        <is>
          <t>ISA75X75X8</t>
        </is>
      </c>
      <c r="G22" t="n">
        <v>1319.2</v>
      </c>
      <c r="H22" t="n">
        <v>2</v>
      </c>
      <c r="I22" t="n">
        <v>1</v>
      </c>
      <c r="J22">
        <f>H22*I22</f>
        <v/>
      </c>
      <c r="K22" t="n">
        <v>8.9</v>
      </c>
      <c r="L22">
        <f>(G22/1000)*H22*K22</f>
        <v/>
      </c>
      <c r="M22">
        <f>L22*I22</f>
        <v/>
      </c>
      <c r="N22" t="n">
        <v>23.61</v>
      </c>
      <c r="O22">
        <f>N22*I22</f>
        <v/>
      </c>
      <c r="P22">
        <f>M22-O22</f>
        <v/>
      </c>
      <c r="Q22" t="inlineStr">
        <is>
          <t>E250A</t>
        </is>
      </c>
      <c r="R22" t="inlineStr">
        <is>
          <t>IS 808 table</t>
        </is>
      </c>
      <c r="S22" t="inlineStr"/>
    </row>
    <row r="23">
      <c r="A23" t="inlineStr">
        <is>
          <t>TST-SFD-46-01-01-07-000-14281</t>
        </is>
      </c>
      <c r="B23" t="inlineStr">
        <is>
          <t>COLUMN</t>
        </is>
      </c>
      <c r="C23" t="inlineStr">
        <is>
          <t>3C2</t>
        </is>
      </c>
      <c r="D23" t="inlineStr">
        <is>
          <t>3m521</t>
        </is>
      </c>
      <c r="E23" t="inlineStr">
        <is>
          <t>ISA75X75X8</t>
        </is>
      </c>
      <c r="G23" t="n">
        <v>1319.2</v>
      </c>
      <c r="H23" t="n">
        <v>2</v>
      </c>
      <c r="I23" t="n">
        <v>1</v>
      </c>
      <c r="J23">
        <f>H23*I23</f>
        <v/>
      </c>
      <c r="K23" t="n">
        <v>8.9</v>
      </c>
      <c r="L23">
        <f>(G23/1000)*H23*K23</f>
        <v/>
      </c>
      <c r="M23">
        <f>L23*I23</f>
        <v/>
      </c>
      <c r="N23" t="n">
        <v>23.61</v>
      </c>
      <c r="O23">
        <f>N23*I23</f>
        <v/>
      </c>
      <c r="P23">
        <f>M23-O23</f>
        <v/>
      </c>
      <c r="Q23" t="inlineStr">
        <is>
          <t>E250A</t>
        </is>
      </c>
      <c r="R23" t="inlineStr">
        <is>
          <t>IS 808 table</t>
        </is>
      </c>
      <c r="S23" t="inlineStr"/>
    </row>
    <row r="24">
      <c r="A24" t="inlineStr">
        <is>
          <t>TST-SFD-46-01-01-07-000-14281</t>
        </is>
      </c>
      <c r="B24" t="inlineStr">
        <is>
          <t>COLUMN</t>
        </is>
      </c>
      <c r="C24" t="inlineStr">
        <is>
          <t>3C2</t>
        </is>
      </c>
      <c r="D24" t="inlineStr">
        <is>
          <t>3m766</t>
        </is>
      </c>
      <c r="E24" t="inlineStr">
        <is>
          <t>ISMC150</t>
        </is>
      </c>
      <c r="G24" t="n">
        <v>1379.9</v>
      </c>
      <c r="H24" t="n">
        <v>7</v>
      </c>
      <c r="I24" t="n">
        <v>1</v>
      </c>
      <c r="J24">
        <f>H24*I24</f>
        <v/>
      </c>
      <c r="K24" t="n">
        <v>16.8</v>
      </c>
      <c r="L24">
        <f>(G24/1000)*H24*K24</f>
        <v/>
      </c>
      <c r="M24">
        <f>L24*I24</f>
        <v/>
      </c>
      <c r="N24" t="n">
        <v>161.51</v>
      </c>
      <c r="O24">
        <f>N24*I24</f>
        <v/>
      </c>
      <c r="P24">
        <f>M24-O24</f>
        <v/>
      </c>
      <c r="Q24" t="inlineStr">
        <is>
          <t>E250A</t>
        </is>
      </c>
      <c r="R24" t="inlineStr">
        <is>
          <t>IS 808 table</t>
        </is>
      </c>
      <c r="S24" t="inlineStr"/>
    </row>
    <row r="25">
      <c r="A25" t="inlineStr">
        <is>
          <t>TST-SFD-46-01-01-07-000-14281</t>
        </is>
      </c>
      <c r="B25" t="inlineStr">
        <is>
          <t>COLUMN</t>
        </is>
      </c>
      <c r="C25" t="inlineStr">
        <is>
          <t>3C2</t>
        </is>
      </c>
      <c r="D25" t="inlineStr">
        <is>
          <t>3m767</t>
        </is>
      </c>
      <c r="E25" t="inlineStr">
        <is>
          <t>ISMC150</t>
        </is>
      </c>
      <c r="G25" t="n">
        <v>1379.9</v>
      </c>
      <c r="H25" t="n">
        <v>1</v>
      </c>
      <c r="I25" t="n">
        <v>1</v>
      </c>
      <c r="J25">
        <f>H25*I25</f>
        <v/>
      </c>
      <c r="K25" t="n">
        <v>16.8</v>
      </c>
      <c r="L25">
        <f>(G25/1000)*H25*K25</f>
        <v/>
      </c>
      <c r="M25">
        <f>L25*I25</f>
        <v/>
      </c>
      <c r="N25" t="n">
        <v>23.07</v>
      </c>
      <c r="O25">
        <f>N25*I25</f>
        <v/>
      </c>
      <c r="P25">
        <f>M25-O25</f>
        <v/>
      </c>
      <c r="Q25" t="inlineStr">
        <is>
          <t>E250A</t>
        </is>
      </c>
      <c r="R25" t="inlineStr">
        <is>
          <t>IS 808 table</t>
        </is>
      </c>
      <c r="S25" t="inlineStr"/>
    </row>
    <row r="26">
      <c r="A26" t="inlineStr">
        <is>
          <t>TST-SFD-46-01-01-07-000-14281</t>
        </is>
      </c>
      <c r="B26" t="inlineStr">
        <is>
          <t>COLUMN</t>
        </is>
      </c>
      <c r="C26" t="inlineStr">
        <is>
          <t>3C2</t>
        </is>
      </c>
      <c r="D26" t="inlineStr">
        <is>
          <t>3p32</t>
        </is>
      </c>
      <c r="E26" t="inlineStr">
        <is>
          <t>PL10</t>
        </is>
      </c>
      <c r="F26" t="n">
        <v>287</v>
      </c>
      <c r="G26" t="n">
        <v>447.8</v>
      </c>
      <c r="H26" t="n">
        <v>2</v>
      </c>
      <c r="I26" t="n">
        <v>1</v>
      </c>
      <c r="J26">
        <f>H26*I26</f>
        <v/>
      </c>
      <c r="K26">
        <f>7.85*10</f>
        <v/>
      </c>
      <c r="L26">
        <f>(F26/1000)*(G26/1000)*H26*K26</f>
        <v/>
      </c>
      <c r="M26">
        <f>L26*I26</f>
        <v/>
      </c>
      <c r="N26" t="n">
        <v>20.17</v>
      </c>
      <c r="O26">
        <f>N26*I26</f>
        <v/>
      </c>
      <c r="P26">
        <f>M26-O26</f>
        <v/>
      </c>
      <c r="Q26" t="inlineStr">
        <is>
          <t>E350A</t>
        </is>
      </c>
      <c r="R26" t="inlineStr">
        <is>
          <t>7.85 x t</t>
        </is>
      </c>
      <c r="S26" t="inlineStr"/>
    </row>
    <row r="27">
      <c r="A27" t="inlineStr">
        <is>
          <t>TST-SFD-46-01-01-07-000-14281</t>
        </is>
      </c>
      <c r="B27" t="inlineStr">
        <is>
          <t>COLUMN</t>
        </is>
      </c>
      <c r="C27" t="inlineStr">
        <is>
          <t>3C2</t>
        </is>
      </c>
      <c r="D27" t="inlineStr">
        <is>
          <t>3p33</t>
        </is>
      </c>
      <c r="E27" t="inlineStr">
        <is>
          <t>PL20</t>
        </is>
      </c>
      <c r="F27" t="n">
        <v>200</v>
      </c>
      <c r="G27" t="n">
        <v>561</v>
      </c>
      <c r="H27" t="n">
        <v>2</v>
      </c>
      <c r="I27" t="n">
        <v>1</v>
      </c>
      <c r="J27">
        <f>H27*I27</f>
        <v/>
      </c>
      <c r="K27">
        <f>7.85*20</f>
        <v/>
      </c>
      <c r="L27">
        <f>(F27/1000)*(G27/1000)*H27*K27</f>
        <v/>
      </c>
      <c r="M27">
        <f>L27*I27</f>
        <v/>
      </c>
      <c r="N27" t="n">
        <v>35.23</v>
      </c>
      <c r="O27">
        <f>N27*I27</f>
        <v/>
      </c>
      <c r="P27">
        <f>M27-O27</f>
        <v/>
      </c>
      <c r="Q27" t="inlineStr">
        <is>
          <t>E350A</t>
        </is>
      </c>
      <c r="R27" t="inlineStr">
        <is>
          <t>7.85 x t</t>
        </is>
      </c>
      <c r="S27" t="inlineStr"/>
    </row>
    <row r="28">
      <c r="A28" t="inlineStr">
        <is>
          <t>TST-SFD-46-01-01-07-000-14281</t>
        </is>
      </c>
      <c r="B28" t="inlineStr">
        <is>
          <t>COLUMN</t>
        </is>
      </c>
      <c r="C28" t="inlineStr">
        <is>
          <t>3C2</t>
        </is>
      </c>
      <c r="D28" t="inlineStr">
        <is>
          <t>3p34</t>
        </is>
      </c>
      <c r="E28" t="inlineStr">
        <is>
          <t>PL20</t>
        </is>
      </c>
      <c r="F28" t="n">
        <v>200</v>
      </c>
      <c r="G28" t="n">
        <v>379</v>
      </c>
      <c r="H28" t="n">
        <v>2</v>
      </c>
      <c r="I28" t="n">
        <v>1</v>
      </c>
      <c r="J28">
        <f>H28*I28</f>
        <v/>
      </c>
      <c r="K28">
        <f>7.85*20</f>
        <v/>
      </c>
      <c r="L28">
        <f>(F28/1000)*(G28/1000)*H28*K28</f>
        <v/>
      </c>
      <c r="M28">
        <f>L28*I28</f>
        <v/>
      </c>
      <c r="N28" t="n">
        <v>23.8</v>
      </c>
      <c r="O28">
        <f>N28*I28</f>
        <v/>
      </c>
      <c r="P28">
        <f>M28-O28</f>
        <v/>
      </c>
      <c r="Q28" t="inlineStr">
        <is>
          <t>E350A</t>
        </is>
      </c>
      <c r="R28" t="inlineStr">
        <is>
          <t>7.85 x t</t>
        </is>
      </c>
      <c r="S28" t="inlineStr"/>
    </row>
    <row r="29">
      <c r="A29" t="inlineStr">
        <is>
          <t>TST-SFD-46-01-01-07-000-14281</t>
        </is>
      </c>
      <c r="B29" t="inlineStr">
        <is>
          <t>COLUMN</t>
        </is>
      </c>
      <c r="C29" t="inlineStr">
        <is>
          <t>3C2</t>
        </is>
      </c>
      <c r="D29" t="inlineStr">
        <is>
          <t>3p36</t>
        </is>
      </c>
      <c r="E29" t="inlineStr">
        <is>
          <t>PL20</t>
        </is>
      </c>
      <c r="F29" t="n">
        <v>200</v>
      </c>
      <c r="G29" t="n">
        <v>390</v>
      </c>
      <c r="H29" t="n">
        <v>2</v>
      </c>
      <c r="I29" t="n">
        <v>1</v>
      </c>
      <c r="J29">
        <f>H29*I29</f>
        <v/>
      </c>
      <c r="K29">
        <f>7.85*20</f>
        <v/>
      </c>
      <c r="L29">
        <f>(F29/1000)*(G29/1000)*H29*K29</f>
        <v/>
      </c>
      <c r="M29">
        <f>L29*I29</f>
        <v/>
      </c>
      <c r="N29" t="n">
        <v>24.49</v>
      </c>
      <c r="O29">
        <f>N29*I29</f>
        <v/>
      </c>
      <c r="P29">
        <f>M29-O29</f>
        <v/>
      </c>
      <c r="Q29" t="inlineStr">
        <is>
          <t>E350A</t>
        </is>
      </c>
      <c r="R29" t="inlineStr">
        <is>
          <t>7.85 x t</t>
        </is>
      </c>
      <c r="S29" t="inlineStr"/>
    </row>
    <row r="30">
      <c r="A30" t="inlineStr">
        <is>
          <t>TST-SFD-46-01-01-07-000-14281</t>
        </is>
      </c>
      <c r="B30" t="inlineStr">
        <is>
          <t>COLUMN</t>
        </is>
      </c>
      <c r="C30" t="inlineStr">
        <is>
          <t>3C2</t>
        </is>
      </c>
      <c r="D30" t="inlineStr">
        <is>
          <t>3p37</t>
        </is>
      </c>
      <c r="E30" t="inlineStr">
        <is>
          <t>PL10</t>
        </is>
      </c>
      <c r="F30" t="n">
        <v>379</v>
      </c>
      <c r="G30" t="n">
        <v>380</v>
      </c>
      <c r="H30" t="n">
        <v>2</v>
      </c>
      <c r="I30" t="n">
        <v>1</v>
      </c>
      <c r="J30">
        <f>H30*I30</f>
        <v/>
      </c>
      <c r="K30">
        <f>7.85*10</f>
        <v/>
      </c>
      <c r="L30">
        <f>(F30/1000)*(G30/1000)*H30*K30</f>
        <v/>
      </c>
      <c r="M30">
        <f>L30*I30</f>
        <v/>
      </c>
      <c r="N30" t="n">
        <v>22.61</v>
      </c>
      <c r="O30">
        <f>N30*I30</f>
        <v/>
      </c>
      <c r="P30">
        <f>M30-O30</f>
        <v/>
      </c>
      <c r="Q30" t="inlineStr">
        <is>
          <t>E350A</t>
        </is>
      </c>
      <c r="R30" t="inlineStr">
        <is>
          <t>7.85 x t</t>
        </is>
      </c>
      <c r="S30" t="inlineStr"/>
    </row>
    <row r="31">
      <c r="A31" t="inlineStr">
        <is>
          <t>TST-SFD-46-01-01-07-000-14281</t>
        </is>
      </c>
      <c r="B31" t="inlineStr">
        <is>
          <t>COLUMN</t>
        </is>
      </c>
      <c r="C31" t="inlineStr">
        <is>
          <t>3C2</t>
        </is>
      </c>
      <c r="D31" t="inlineStr">
        <is>
          <t>3p51</t>
        </is>
      </c>
      <c r="E31" t="inlineStr">
        <is>
          <t>PL25</t>
        </is>
      </c>
      <c r="F31" t="n">
        <v>200</v>
      </c>
      <c r="G31" t="n">
        <v>359</v>
      </c>
      <c r="H31" t="n">
        <v>2</v>
      </c>
      <c r="I31" t="n">
        <v>1</v>
      </c>
      <c r="J31">
        <f>H31*I31</f>
        <v/>
      </c>
      <c r="K31">
        <f>7.85*25</f>
        <v/>
      </c>
      <c r="L31">
        <f>(F31/1000)*(G31/1000)*H31*K31</f>
        <v/>
      </c>
      <c r="M31">
        <f>L31*I31</f>
        <v/>
      </c>
      <c r="N31" t="n">
        <v>28.18</v>
      </c>
      <c r="O31">
        <f>N31*I31</f>
        <v/>
      </c>
      <c r="P31">
        <f>M31-O31</f>
        <v/>
      </c>
      <c r="Q31" t="inlineStr">
        <is>
          <t>E350BR</t>
        </is>
      </c>
      <c r="R31" t="inlineStr">
        <is>
          <t>7.85 x t</t>
        </is>
      </c>
      <c r="S31" t="inlineStr"/>
    </row>
    <row r="32">
      <c r="A32" t="inlineStr">
        <is>
          <t>TST-SFD-46-01-01-07-000-14281</t>
        </is>
      </c>
      <c r="B32" t="inlineStr">
        <is>
          <t>COLUMN</t>
        </is>
      </c>
      <c r="C32" t="inlineStr">
        <is>
          <t>3C2</t>
        </is>
      </c>
      <c r="D32" t="inlineStr">
        <is>
          <t>3p283</t>
        </is>
      </c>
      <c r="E32" t="inlineStr">
        <is>
          <t>PL16</t>
        </is>
      </c>
      <c r="F32" t="n">
        <v>646</v>
      </c>
      <c r="G32" t="n">
        <v>1687.3</v>
      </c>
      <c r="H32" t="n">
        <v>2</v>
      </c>
      <c r="I32" t="n">
        <v>1</v>
      </c>
      <c r="J32">
        <f>H32*I32</f>
        <v/>
      </c>
      <c r="K32">
        <f>7.85*16</f>
        <v/>
      </c>
      <c r="L32">
        <f>(F32/1000)*(G32/1000)*H32*K32</f>
        <v/>
      </c>
      <c r="M32">
        <f>L32*I32</f>
        <v/>
      </c>
      <c r="N32" t="n">
        <v>274</v>
      </c>
      <c r="O32">
        <f>N32*I32</f>
        <v/>
      </c>
      <c r="P32">
        <f>M32-O32</f>
        <v/>
      </c>
      <c r="Q32" t="inlineStr">
        <is>
          <t>E350A</t>
        </is>
      </c>
      <c r="R32" t="inlineStr">
        <is>
          <t>7.85 x t</t>
        </is>
      </c>
      <c r="S32" t="inlineStr"/>
    </row>
    <row r="33">
      <c r="A33" t="inlineStr">
        <is>
          <t>TST-SFD-46-01-01-07-000-14281</t>
        </is>
      </c>
      <c r="B33" t="inlineStr">
        <is>
          <t>COLUMN</t>
        </is>
      </c>
      <c r="C33" t="inlineStr">
        <is>
          <t>3C2</t>
        </is>
      </c>
      <c r="D33" t="inlineStr">
        <is>
          <t>3p295</t>
        </is>
      </c>
      <c r="E33" t="inlineStr">
        <is>
          <t>PL32</t>
        </is>
      </c>
      <c r="F33" t="n">
        <v>500</v>
      </c>
      <c r="G33" t="n">
        <v>1200</v>
      </c>
      <c r="H33" t="n">
        <v>4</v>
      </c>
      <c r="I33" t="n">
        <v>1</v>
      </c>
      <c r="J33">
        <f>H33*I33</f>
        <v/>
      </c>
      <c r="K33">
        <f>7.85*32</f>
        <v/>
      </c>
      <c r="L33">
        <f>(F33/1000)*(G33/1000)*H33*K33</f>
        <v/>
      </c>
      <c r="M33">
        <f>L33*I33</f>
        <v/>
      </c>
      <c r="N33" t="n">
        <v>602.88</v>
      </c>
      <c r="O33">
        <f>N33*I33</f>
        <v/>
      </c>
      <c r="P33">
        <f>M33-O33</f>
        <v/>
      </c>
      <c r="Q33" t="inlineStr">
        <is>
          <t>E350BR</t>
        </is>
      </c>
      <c r="R33" t="inlineStr">
        <is>
          <t>7.85 x t</t>
        </is>
      </c>
      <c r="S33" t="inlineStr"/>
    </row>
    <row r="34">
      <c r="A34" t="inlineStr">
        <is>
          <t>TST-SFD-46-01-01-07-000-14281</t>
        </is>
      </c>
      <c r="B34" t="inlineStr">
        <is>
          <t>COLUMN</t>
        </is>
      </c>
      <c r="C34" t="inlineStr">
        <is>
          <t>3C2</t>
        </is>
      </c>
      <c r="D34" t="inlineStr">
        <is>
          <t>3p307</t>
        </is>
      </c>
      <c r="E34" t="inlineStr">
        <is>
          <t>PL14</t>
        </is>
      </c>
      <c r="F34" t="n">
        <v>234</v>
      </c>
      <c r="G34" t="n">
        <v>1120</v>
      </c>
      <c r="H34" t="n">
        <v>20</v>
      </c>
      <c r="I34" t="n">
        <v>1</v>
      </c>
      <c r="J34">
        <f>H34*I34</f>
        <v/>
      </c>
      <c r="K34">
        <f>7.85*14</f>
        <v/>
      </c>
      <c r="L34">
        <f>(F34/1000)*(G34/1000)*H34*K34</f>
        <v/>
      </c>
      <c r="M34">
        <f>L34*I34</f>
        <v/>
      </c>
      <c r="N34" t="n">
        <v>576.05</v>
      </c>
      <c r="O34">
        <f>N34*I34</f>
        <v/>
      </c>
      <c r="P34">
        <f>M34-O34</f>
        <v/>
      </c>
      <c r="Q34" t="inlineStr">
        <is>
          <t>E350A</t>
        </is>
      </c>
      <c r="R34" t="inlineStr">
        <is>
          <t>7.85 x t</t>
        </is>
      </c>
      <c r="S34" t="inlineStr"/>
    </row>
    <row r="35">
      <c r="A35" t="inlineStr">
        <is>
          <t>TST-SFD-46-01-01-07-000-14281</t>
        </is>
      </c>
      <c r="B35" t="inlineStr">
        <is>
          <t>COLUMN</t>
        </is>
      </c>
      <c r="C35" t="inlineStr">
        <is>
          <t>3C2</t>
        </is>
      </c>
      <c r="D35" t="inlineStr">
        <is>
          <t>3p308</t>
        </is>
      </c>
      <c r="E35" t="inlineStr">
        <is>
          <t>PL16</t>
        </is>
      </c>
      <c r="F35" t="n">
        <v>234</v>
      </c>
      <c r="G35" t="n">
        <v>1116</v>
      </c>
      <c r="H35" t="n">
        <v>4</v>
      </c>
      <c r="I35" t="n">
        <v>1</v>
      </c>
      <c r="J35">
        <f>H35*I35</f>
        <v/>
      </c>
      <c r="K35">
        <f>7.85*16</f>
        <v/>
      </c>
      <c r="L35">
        <f>(F35/1000)*(G35/1000)*H35*K35</f>
        <v/>
      </c>
      <c r="M35">
        <f>L35*I35</f>
        <v/>
      </c>
      <c r="N35" t="n">
        <v>131.2</v>
      </c>
      <c r="O35">
        <f>N35*I35</f>
        <v/>
      </c>
      <c r="P35">
        <f>M35-O35</f>
        <v/>
      </c>
      <c r="Q35" t="inlineStr">
        <is>
          <t>E350A</t>
        </is>
      </c>
      <c r="R35" t="inlineStr">
        <is>
          <t>7.85 x t</t>
        </is>
      </c>
      <c r="S35" t="inlineStr"/>
    </row>
    <row r="36">
      <c r="A36" t="inlineStr">
        <is>
          <t>TST-SFD-46-01-01-07-000-14281</t>
        </is>
      </c>
      <c r="B36" t="inlineStr">
        <is>
          <t>COLUMN</t>
        </is>
      </c>
      <c r="C36" t="inlineStr">
        <is>
          <t>3C2</t>
        </is>
      </c>
      <c r="D36" t="inlineStr">
        <is>
          <t>3p309</t>
        </is>
      </c>
      <c r="E36" t="inlineStr">
        <is>
          <t>PL20</t>
        </is>
      </c>
      <c r="F36" t="n">
        <v>234</v>
      </c>
      <c r="G36" t="n">
        <v>1116</v>
      </c>
      <c r="H36" t="n">
        <v>16</v>
      </c>
      <c r="I36" t="n">
        <v>1</v>
      </c>
      <c r="J36">
        <f>H36*I36</f>
        <v/>
      </c>
      <c r="K36">
        <f>7.85*20</f>
        <v/>
      </c>
      <c r="L36">
        <f>(F36/1000)*(G36/1000)*H36*K36</f>
        <v/>
      </c>
      <c r="M36">
        <f>L36*I36</f>
        <v/>
      </c>
      <c r="N36" t="n">
        <v>655.99</v>
      </c>
      <c r="O36">
        <f>N36*I36</f>
        <v/>
      </c>
      <c r="P36">
        <f>M36-O36</f>
        <v/>
      </c>
      <c r="Q36" t="inlineStr">
        <is>
          <t>E350A</t>
        </is>
      </c>
      <c r="R36" t="inlineStr">
        <is>
          <t>7.85 x t</t>
        </is>
      </c>
      <c r="S36" t="inlineStr"/>
    </row>
    <row r="37">
      <c r="A37" t="inlineStr">
        <is>
          <t>TST-SFD-46-01-01-07-000-14281</t>
        </is>
      </c>
      <c r="B37" t="inlineStr">
        <is>
          <t>COLUMN</t>
        </is>
      </c>
      <c r="C37" t="inlineStr">
        <is>
          <t>3C2</t>
        </is>
      </c>
      <c r="D37" t="inlineStr">
        <is>
          <t>3p319</t>
        </is>
      </c>
      <c r="E37" t="inlineStr">
        <is>
          <t>PL25</t>
        </is>
      </c>
      <c r="F37" t="n">
        <v>650</v>
      </c>
      <c r="G37" t="n">
        <v>737.8</v>
      </c>
      <c r="H37" t="n">
        <v>2</v>
      </c>
      <c r="I37" t="n">
        <v>1</v>
      </c>
      <c r="J37">
        <f>H37*I37</f>
        <v/>
      </c>
      <c r="K37">
        <f>7.85*25</f>
        <v/>
      </c>
      <c r="L37">
        <f>(F37/1000)*(G37/1000)*H37*K37</f>
        <v/>
      </c>
      <c r="M37">
        <f>L37*I37</f>
        <v/>
      </c>
      <c r="N37" t="n">
        <v>188.13</v>
      </c>
      <c r="O37">
        <f>N37*I37</f>
        <v/>
      </c>
      <c r="P37">
        <f>M37-O37</f>
        <v/>
      </c>
      <c r="Q37" t="inlineStr">
        <is>
          <t>E350BR</t>
        </is>
      </c>
      <c r="R37" t="inlineStr">
        <is>
          <t>7.85 x t</t>
        </is>
      </c>
      <c r="S37" t="inlineStr"/>
    </row>
    <row r="38">
      <c r="A38" t="inlineStr">
        <is>
          <t>TST-SFD-46-01-01-07-000-14281</t>
        </is>
      </c>
      <c r="B38" t="inlineStr">
        <is>
          <t>COLUMN</t>
        </is>
      </c>
      <c r="C38" t="inlineStr">
        <is>
          <t>3C2</t>
        </is>
      </c>
      <c r="D38" t="inlineStr">
        <is>
          <t>3p332</t>
        </is>
      </c>
      <c r="E38" t="inlineStr">
        <is>
          <t>PL16</t>
        </is>
      </c>
      <c r="F38" t="n">
        <v>473</v>
      </c>
      <c r="G38" t="n">
        <v>474.3</v>
      </c>
      <c r="H38" t="n">
        <v>4</v>
      </c>
      <c r="I38" t="n">
        <v>1</v>
      </c>
      <c r="J38">
        <f>H38*I38</f>
        <v/>
      </c>
      <c r="K38">
        <f>7.85*16</f>
        <v/>
      </c>
      <c r="L38">
        <f>(F38/1000)*(G38/1000)*H38*K38</f>
        <v/>
      </c>
      <c r="M38">
        <f>L38*I38</f>
        <v/>
      </c>
      <c r="N38" t="n">
        <v>112.7</v>
      </c>
      <c r="O38">
        <f>N38*I38</f>
        <v/>
      </c>
      <c r="P38">
        <f>M38-O38</f>
        <v/>
      </c>
      <c r="Q38" t="inlineStr">
        <is>
          <t>E350A</t>
        </is>
      </c>
      <c r="R38" t="inlineStr">
        <is>
          <t>7.85 x t</t>
        </is>
      </c>
      <c r="S38" t="inlineStr"/>
    </row>
    <row r="39">
      <c r="A39" t="inlineStr">
        <is>
          <t>TST-SFD-46-01-01-07-000-14281</t>
        </is>
      </c>
      <c r="B39" t="inlineStr">
        <is>
          <t>COLUMN</t>
        </is>
      </c>
      <c r="C39" t="inlineStr">
        <is>
          <t>3C2</t>
        </is>
      </c>
      <c r="D39" t="inlineStr">
        <is>
          <t>3p333</t>
        </is>
      </c>
      <c r="E39" t="inlineStr">
        <is>
          <t>PL16</t>
        </is>
      </c>
      <c r="F39" t="n">
        <v>496</v>
      </c>
      <c r="G39" t="n">
        <v>1498.4</v>
      </c>
      <c r="H39" t="n">
        <v>2</v>
      </c>
      <c r="I39" t="n">
        <v>1</v>
      </c>
      <c r="J39">
        <f>H39*I39</f>
        <v/>
      </c>
      <c r="K39">
        <f>7.85*16</f>
        <v/>
      </c>
      <c r="L39">
        <f>(F39/1000)*(G39/1000)*H39*K39</f>
        <v/>
      </c>
      <c r="M39">
        <f>L39*I39</f>
        <v/>
      </c>
      <c r="N39" t="n">
        <v>186.58</v>
      </c>
      <c r="O39">
        <f>N39*I39</f>
        <v/>
      </c>
      <c r="P39">
        <f>M39-O39</f>
        <v/>
      </c>
      <c r="Q39" t="inlineStr">
        <is>
          <t>E350A</t>
        </is>
      </c>
      <c r="R39" t="inlineStr">
        <is>
          <t>7.85 x t</t>
        </is>
      </c>
      <c r="S39" t="inlineStr"/>
    </row>
    <row r="40">
      <c r="A40" t="inlineStr">
        <is>
          <t>TST-SFD-46-01-01-07-000-14281</t>
        </is>
      </c>
      <c r="B40" t="inlineStr">
        <is>
          <t>COLUMN</t>
        </is>
      </c>
      <c r="C40" t="inlineStr">
        <is>
          <t>3C2</t>
        </is>
      </c>
      <c r="D40" t="inlineStr">
        <is>
          <t>3p334</t>
        </is>
      </c>
      <c r="E40" t="inlineStr">
        <is>
          <t>PL16</t>
        </is>
      </c>
      <c r="F40" t="n">
        <v>490</v>
      </c>
      <c r="G40" t="n">
        <v>671.6</v>
      </c>
      <c r="H40" t="n">
        <v>2</v>
      </c>
      <c r="I40" t="n">
        <v>1</v>
      </c>
      <c r="J40">
        <f>H40*I40</f>
        <v/>
      </c>
      <c r="K40">
        <f>7.85*16</f>
        <v/>
      </c>
      <c r="L40">
        <f>(F40/1000)*(G40/1000)*H40*K40</f>
        <v/>
      </c>
      <c r="M40">
        <f>L40*I40</f>
        <v/>
      </c>
      <c r="N40" t="n">
        <v>82.62</v>
      </c>
      <c r="O40">
        <f>N40*I40</f>
        <v/>
      </c>
      <c r="P40">
        <f>M40-O40</f>
        <v/>
      </c>
      <c r="Q40" t="inlineStr">
        <is>
          <t>E350A</t>
        </is>
      </c>
      <c r="R40" t="inlineStr">
        <is>
          <t>7.85 x t</t>
        </is>
      </c>
      <c r="S40" t="inlineStr"/>
    </row>
    <row r="41">
      <c r="A41" t="inlineStr">
        <is>
          <t>TST-SFD-46-01-01-07-000-14281</t>
        </is>
      </c>
      <c r="B41" t="inlineStr">
        <is>
          <t>COLUMN</t>
        </is>
      </c>
      <c r="C41" t="inlineStr">
        <is>
          <t>3C2</t>
        </is>
      </c>
      <c r="D41" t="inlineStr">
        <is>
          <t>3p436</t>
        </is>
      </c>
      <c r="E41" t="inlineStr">
        <is>
          <t>PL20</t>
        </is>
      </c>
      <c r="F41" t="n">
        <v>230</v>
      </c>
      <c r="G41" t="n">
        <v>447</v>
      </c>
      <c r="H41" t="n">
        <v>2</v>
      </c>
      <c r="I41" t="n">
        <v>1</v>
      </c>
      <c r="J41">
        <f>H41*I41</f>
        <v/>
      </c>
      <c r="K41">
        <f>7.85*20</f>
        <v/>
      </c>
      <c r="L41">
        <f>(F41/1000)*(G41/1000)*H41*K41</f>
        <v/>
      </c>
      <c r="M41">
        <f>L41*I41</f>
        <v/>
      </c>
      <c r="N41" t="n">
        <v>32.28</v>
      </c>
      <c r="O41">
        <f>N41*I41</f>
        <v/>
      </c>
      <c r="P41">
        <f>M41-O41</f>
        <v/>
      </c>
      <c r="Q41" t="inlineStr">
        <is>
          <t>E350A</t>
        </is>
      </c>
      <c r="R41" t="inlineStr">
        <is>
          <t>7.85 x t</t>
        </is>
      </c>
      <c r="S41" t="inlineStr"/>
    </row>
    <row r="42">
      <c r="A42" t="inlineStr">
        <is>
          <t>TST-SFD-46-01-01-07-000-14281</t>
        </is>
      </c>
      <c r="B42" t="inlineStr">
        <is>
          <t>COLUMN</t>
        </is>
      </c>
      <c r="C42" t="inlineStr">
        <is>
          <t>3C2</t>
        </is>
      </c>
      <c r="D42" t="inlineStr">
        <is>
          <t>3p437</t>
        </is>
      </c>
      <c r="E42" t="inlineStr">
        <is>
          <t>PL12</t>
        </is>
      </c>
      <c r="F42" t="n">
        <v>225</v>
      </c>
      <c r="G42" t="n">
        <v>447</v>
      </c>
      <c r="H42" t="n">
        <v>2</v>
      </c>
      <c r="I42" t="n">
        <v>1</v>
      </c>
      <c r="J42">
        <f>H42*I42</f>
        <v/>
      </c>
      <c r="K42">
        <f>7.85*12</f>
        <v/>
      </c>
      <c r="L42">
        <f>(F42/1000)*(G42/1000)*H42*K42</f>
        <v/>
      </c>
      <c r="M42">
        <f>L42*I42</f>
        <v/>
      </c>
      <c r="N42" t="n">
        <v>18.95</v>
      </c>
      <c r="O42">
        <f>N42*I42</f>
        <v/>
      </c>
      <c r="P42">
        <f>M42-O42</f>
        <v/>
      </c>
      <c r="Q42" t="inlineStr">
        <is>
          <t>E350A</t>
        </is>
      </c>
      <c r="R42" t="inlineStr">
        <is>
          <t>7.85 x t</t>
        </is>
      </c>
      <c r="S42" t="inlineStr"/>
    </row>
    <row r="43">
      <c r="A43" t="inlineStr">
        <is>
          <t>TST-SFD-46-01-01-07-000-14281</t>
        </is>
      </c>
      <c r="B43" t="inlineStr">
        <is>
          <t>COLUMN</t>
        </is>
      </c>
      <c r="C43" t="inlineStr">
        <is>
          <t>3C2</t>
        </is>
      </c>
      <c r="D43" t="inlineStr">
        <is>
          <t>3p438</t>
        </is>
      </c>
      <c r="E43" t="inlineStr">
        <is>
          <t>PL20</t>
        </is>
      </c>
      <c r="F43" t="n">
        <v>200</v>
      </c>
      <c r="G43" t="n">
        <v>255</v>
      </c>
      <c r="H43" t="n">
        <v>2</v>
      </c>
      <c r="I43" t="n">
        <v>1</v>
      </c>
      <c r="J43">
        <f>H43*I43</f>
        <v/>
      </c>
      <c r="K43">
        <f>7.85*20</f>
        <v/>
      </c>
      <c r="L43">
        <f>(F43/1000)*(G43/1000)*H43*K43</f>
        <v/>
      </c>
      <c r="M43">
        <f>L43*I43</f>
        <v/>
      </c>
      <c r="N43" t="n">
        <v>16.01</v>
      </c>
      <c r="O43">
        <f>N43*I43</f>
        <v/>
      </c>
      <c r="P43">
        <f>M43-O43</f>
        <v/>
      </c>
      <c r="Q43" t="inlineStr">
        <is>
          <t>E350A</t>
        </is>
      </c>
      <c r="R43" t="inlineStr">
        <is>
          <t>7.85 x t</t>
        </is>
      </c>
      <c r="S43" t="inlineStr"/>
    </row>
    <row r="44">
      <c r="A44" t="inlineStr">
        <is>
          <t>TST-SFD-46-01-01-07-000-14281</t>
        </is>
      </c>
      <c r="B44" t="inlineStr">
        <is>
          <t>COLUMN</t>
        </is>
      </c>
      <c r="C44" t="inlineStr">
        <is>
          <t>3C2</t>
        </is>
      </c>
      <c r="D44" t="inlineStr">
        <is>
          <t>3p439</t>
        </is>
      </c>
      <c r="E44" t="inlineStr">
        <is>
          <t>PL10</t>
        </is>
      </c>
      <c r="F44" t="n">
        <v>255</v>
      </c>
      <c r="G44" t="n">
        <v>480</v>
      </c>
      <c r="H44" t="n">
        <v>2</v>
      </c>
      <c r="I44" t="n">
        <v>1</v>
      </c>
      <c r="J44">
        <f>H44*I44</f>
        <v/>
      </c>
      <c r="K44">
        <f>7.85*10</f>
        <v/>
      </c>
      <c r="L44">
        <f>(F44/1000)*(G44/1000)*H44*K44</f>
        <v/>
      </c>
      <c r="M44">
        <f>L44*I44</f>
        <v/>
      </c>
      <c r="N44" t="n">
        <v>19.22</v>
      </c>
      <c r="O44">
        <f>N44*I44</f>
        <v/>
      </c>
      <c r="P44">
        <f>M44-O44</f>
        <v/>
      </c>
      <c r="Q44" t="inlineStr">
        <is>
          <t>E350A</t>
        </is>
      </c>
      <c r="R44" t="inlineStr">
        <is>
          <t>7.85 x t</t>
        </is>
      </c>
      <c r="S44" t="inlineStr"/>
    </row>
    <row r="45">
      <c r="A45" t="inlineStr">
        <is>
          <t>TST-SFD-46-01-01-07-000-14281</t>
        </is>
      </c>
      <c r="B45" t="inlineStr">
        <is>
          <t>COLUMN</t>
        </is>
      </c>
      <c r="C45" t="inlineStr">
        <is>
          <t>3C2</t>
        </is>
      </c>
      <c r="D45" t="inlineStr">
        <is>
          <t>3p440</t>
        </is>
      </c>
      <c r="E45" t="inlineStr">
        <is>
          <t>PL20</t>
        </is>
      </c>
      <c r="F45" t="n">
        <v>200</v>
      </c>
      <c r="G45" t="n">
        <v>488</v>
      </c>
      <c r="H45" t="n">
        <v>1</v>
      </c>
      <c r="I45" t="n">
        <v>1</v>
      </c>
      <c r="J45">
        <f>H45*I45</f>
        <v/>
      </c>
      <c r="K45">
        <f>7.85*20</f>
        <v/>
      </c>
      <c r="L45">
        <f>(F45/1000)*(G45/1000)*H45*K45</f>
        <v/>
      </c>
      <c r="M45">
        <f>L45*I45</f>
        <v/>
      </c>
      <c r="N45" t="n">
        <v>15.32</v>
      </c>
      <c r="O45">
        <f>N45*I45</f>
        <v/>
      </c>
      <c r="P45">
        <f>M45-O45</f>
        <v/>
      </c>
      <c r="Q45" t="inlineStr">
        <is>
          <t>E350A</t>
        </is>
      </c>
      <c r="R45" t="inlineStr">
        <is>
          <t>7.85 x t</t>
        </is>
      </c>
      <c r="S45" t="inlineStr"/>
    </row>
    <row r="46">
      <c r="A46" t="inlineStr">
        <is>
          <t>TST-SFD-46-01-01-07-000-14281</t>
        </is>
      </c>
      <c r="B46" t="inlineStr">
        <is>
          <t>COLUMN</t>
        </is>
      </c>
      <c r="C46" t="inlineStr">
        <is>
          <t>3C2</t>
        </is>
      </c>
      <c r="D46" t="inlineStr">
        <is>
          <t>3p441</t>
        </is>
      </c>
      <c r="E46" t="inlineStr">
        <is>
          <t>PL20</t>
        </is>
      </c>
      <c r="F46" t="n">
        <v>200</v>
      </c>
      <c r="G46" t="n">
        <v>488</v>
      </c>
      <c r="H46" t="n">
        <v>1</v>
      </c>
      <c r="I46" t="n">
        <v>1</v>
      </c>
      <c r="J46">
        <f>H46*I46</f>
        <v/>
      </c>
      <c r="K46">
        <f>7.85*20</f>
        <v/>
      </c>
      <c r="L46">
        <f>(F46/1000)*(G46/1000)*H46*K46</f>
        <v/>
      </c>
      <c r="M46">
        <f>L46*I46</f>
        <v/>
      </c>
      <c r="N46" t="n">
        <v>15.32</v>
      </c>
      <c r="O46">
        <f>N46*I46</f>
        <v/>
      </c>
      <c r="P46">
        <f>M46-O46</f>
        <v/>
      </c>
      <c r="Q46" t="inlineStr">
        <is>
          <t>E350A</t>
        </is>
      </c>
      <c r="R46" t="inlineStr">
        <is>
          <t>7.85 x t</t>
        </is>
      </c>
      <c r="S46" t="inlineStr"/>
    </row>
    <row r="47">
      <c r="A47" t="inlineStr">
        <is>
          <t>TST-SFD-46-01-01-07-000-14281</t>
        </is>
      </c>
      <c r="B47" t="inlineStr">
        <is>
          <t>COLUMN</t>
        </is>
      </c>
      <c r="C47" t="inlineStr">
        <is>
          <t>3C2</t>
        </is>
      </c>
      <c r="D47" t="inlineStr">
        <is>
          <t>3p463</t>
        </is>
      </c>
      <c r="E47" t="inlineStr">
        <is>
          <t>PL10</t>
        </is>
      </c>
      <c r="F47" t="n">
        <v>200</v>
      </c>
      <c r="G47" t="n">
        <v>471</v>
      </c>
      <c r="H47" t="n">
        <v>2</v>
      </c>
      <c r="I47" t="n">
        <v>1</v>
      </c>
      <c r="J47">
        <f>H47*I47</f>
        <v/>
      </c>
      <c r="K47">
        <f>7.85*10</f>
        <v/>
      </c>
      <c r="L47">
        <f>(F47/1000)*(G47/1000)*H47*K47</f>
        <v/>
      </c>
      <c r="M47">
        <f>L47*I47</f>
        <v/>
      </c>
      <c r="N47" t="n">
        <v>14.79</v>
      </c>
      <c r="O47">
        <f>N47*I47</f>
        <v/>
      </c>
      <c r="P47">
        <f>M47-O47</f>
        <v/>
      </c>
      <c r="Q47" t="inlineStr">
        <is>
          <t>E350A</t>
        </is>
      </c>
      <c r="R47" t="inlineStr">
        <is>
          <t>7.85 x t</t>
        </is>
      </c>
      <c r="S47" t="inlineStr"/>
    </row>
    <row r="48">
      <c r="A48" t="inlineStr">
        <is>
          <t>TST-SFD-46-01-01-07-000-14281</t>
        </is>
      </c>
      <c r="B48" t="inlineStr">
        <is>
          <t>COLUMN</t>
        </is>
      </c>
      <c r="C48" t="inlineStr">
        <is>
          <t>3C2</t>
        </is>
      </c>
      <c r="D48" t="inlineStr">
        <is>
          <t>3p464</t>
        </is>
      </c>
      <c r="E48" t="inlineStr">
        <is>
          <t>PL25</t>
        </is>
      </c>
      <c r="F48" t="n">
        <v>250</v>
      </c>
      <c r="G48" t="n">
        <v>259</v>
      </c>
      <c r="H48" t="n">
        <v>2</v>
      </c>
      <c r="I48" t="n">
        <v>1</v>
      </c>
      <c r="J48">
        <f>H48*I48</f>
        <v/>
      </c>
      <c r="K48">
        <f>7.85*25</f>
        <v/>
      </c>
      <c r="L48">
        <f>(F48/1000)*(G48/1000)*H48*K48</f>
        <v/>
      </c>
      <c r="M48">
        <f>L48*I48</f>
        <v/>
      </c>
      <c r="N48" t="n">
        <v>25.41</v>
      </c>
      <c r="O48">
        <f>N48*I48</f>
        <v/>
      </c>
      <c r="P48">
        <f>M48-O48</f>
        <v/>
      </c>
      <c r="Q48" t="inlineStr">
        <is>
          <t>E350BR</t>
        </is>
      </c>
      <c r="R48" t="inlineStr">
        <is>
          <t>7.85 x t</t>
        </is>
      </c>
      <c r="S48" t="inlineStr"/>
    </row>
    <row r="49">
      <c r="A49" t="inlineStr">
        <is>
          <t>TST-SFD-46-01-01-07-000-14281</t>
        </is>
      </c>
      <c r="B49" t="inlineStr">
        <is>
          <t>COLUMN</t>
        </is>
      </c>
      <c r="C49" t="inlineStr">
        <is>
          <t>3C2</t>
        </is>
      </c>
      <c r="D49" t="inlineStr">
        <is>
          <t>3p465</t>
        </is>
      </c>
      <c r="E49" t="inlineStr">
        <is>
          <t>PL16</t>
        </is>
      </c>
      <c r="F49" t="n">
        <v>259</v>
      </c>
      <c r="G49" t="n">
        <v>375</v>
      </c>
      <c r="H49" t="n">
        <v>2</v>
      </c>
      <c r="I49" t="n">
        <v>1</v>
      </c>
      <c r="J49">
        <f>H49*I49</f>
        <v/>
      </c>
      <c r="K49">
        <f>7.85*16</f>
        <v/>
      </c>
      <c r="L49">
        <f>(F49/1000)*(G49/1000)*H49*K49</f>
        <v/>
      </c>
      <c r="M49">
        <f>L49*I49</f>
        <v/>
      </c>
      <c r="N49" t="n">
        <v>24.4</v>
      </c>
      <c r="O49">
        <f>N49*I49</f>
        <v/>
      </c>
      <c r="P49">
        <f>M49-O49</f>
        <v/>
      </c>
      <c r="Q49" t="inlineStr">
        <is>
          <t>E350A</t>
        </is>
      </c>
      <c r="R49" t="inlineStr">
        <is>
          <t>7.85 x t</t>
        </is>
      </c>
      <c r="S49" t="inlineStr"/>
    </row>
    <row r="50">
      <c r="A50" t="inlineStr">
        <is>
          <t>TST-SFD-46-01-01-07-000-14281</t>
        </is>
      </c>
      <c r="B50" t="inlineStr">
        <is>
          <t>COLUMN</t>
        </is>
      </c>
      <c r="C50" t="inlineStr">
        <is>
          <t>3C2</t>
        </is>
      </c>
      <c r="D50" t="inlineStr">
        <is>
          <t>3p467</t>
        </is>
      </c>
      <c r="E50" t="inlineStr">
        <is>
          <t>PL25</t>
        </is>
      </c>
      <c r="F50" t="n">
        <v>250</v>
      </c>
      <c r="G50" t="n">
        <v>385</v>
      </c>
      <c r="H50" t="n">
        <v>1</v>
      </c>
      <c r="I50" t="n">
        <v>1</v>
      </c>
      <c r="J50">
        <f>H50*I50</f>
        <v/>
      </c>
      <c r="K50">
        <f>7.85*25</f>
        <v/>
      </c>
      <c r="L50">
        <f>(F50/1000)*(G50/1000)*H50*K50</f>
        <v/>
      </c>
      <c r="M50">
        <f>L50*I50</f>
        <v/>
      </c>
      <c r="N50" t="n">
        <v>18.89</v>
      </c>
      <c r="O50">
        <f>N50*I50</f>
        <v/>
      </c>
      <c r="P50">
        <f>M50-O50</f>
        <v/>
      </c>
      <c r="Q50" t="inlineStr">
        <is>
          <t>E350BR</t>
        </is>
      </c>
      <c r="R50" t="inlineStr">
        <is>
          <t>7.85 x t</t>
        </is>
      </c>
      <c r="S50" t="inlineStr"/>
    </row>
    <row r="51">
      <c r="A51" t="inlineStr">
        <is>
          <t>TST-SFD-46-01-01-07-000-14281</t>
        </is>
      </c>
      <c r="B51" t="inlineStr">
        <is>
          <t>COLUMN</t>
        </is>
      </c>
      <c r="C51" t="inlineStr">
        <is>
          <t>3C2</t>
        </is>
      </c>
      <c r="D51" t="inlineStr">
        <is>
          <t>3p469</t>
        </is>
      </c>
      <c r="E51" t="inlineStr">
        <is>
          <t>PL25</t>
        </is>
      </c>
      <c r="F51" t="n">
        <v>280</v>
      </c>
      <c r="G51" t="n">
        <v>471</v>
      </c>
      <c r="H51" t="n">
        <v>2</v>
      </c>
      <c r="I51" t="n">
        <v>1</v>
      </c>
      <c r="J51">
        <f>H51*I51</f>
        <v/>
      </c>
      <c r="K51">
        <f>7.85*25</f>
        <v/>
      </c>
      <c r="L51">
        <f>(F51/1000)*(G51/1000)*H51*K51</f>
        <v/>
      </c>
      <c r="M51">
        <f>L51*I51</f>
        <v/>
      </c>
      <c r="N51" t="n">
        <v>51.76</v>
      </c>
      <c r="O51">
        <f>N51*I51</f>
        <v/>
      </c>
      <c r="P51">
        <f>M51-O51</f>
        <v/>
      </c>
      <c r="Q51" t="inlineStr">
        <is>
          <t>E350BR</t>
        </is>
      </c>
      <c r="R51" t="inlineStr">
        <is>
          <t>7.85 x t</t>
        </is>
      </c>
      <c r="S51" t="inlineStr"/>
    </row>
    <row r="52">
      <c r="A52" t="inlineStr">
        <is>
          <t>TST-SFD-46-01-01-07-000-14281</t>
        </is>
      </c>
      <c r="B52" t="inlineStr">
        <is>
          <t>COLUMN</t>
        </is>
      </c>
      <c r="C52" t="inlineStr">
        <is>
          <t>3C2</t>
        </is>
      </c>
      <c r="D52" t="inlineStr">
        <is>
          <t>3p471</t>
        </is>
      </c>
      <c r="E52" t="inlineStr">
        <is>
          <t>PL25</t>
        </is>
      </c>
      <c r="F52" t="n">
        <v>250</v>
      </c>
      <c r="G52" t="n">
        <v>385</v>
      </c>
      <c r="H52" t="n">
        <v>1</v>
      </c>
      <c r="I52" t="n">
        <v>1</v>
      </c>
      <c r="J52">
        <f>H52*I52</f>
        <v/>
      </c>
      <c r="K52">
        <f>7.85*25</f>
        <v/>
      </c>
      <c r="L52">
        <f>(F52/1000)*(G52/1000)*H52*K52</f>
        <v/>
      </c>
      <c r="M52">
        <f>L52*I52</f>
        <v/>
      </c>
      <c r="N52" t="n">
        <v>18.89</v>
      </c>
      <c r="O52">
        <f>N52*I52</f>
        <v/>
      </c>
      <c r="P52">
        <f>M52-O52</f>
        <v/>
      </c>
      <c r="Q52" t="inlineStr">
        <is>
          <t>E350BR</t>
        </is>
      </c>
      <c r="R52" t="inlineStr">
        <is>
          <t>7.85 x t</t>
        </is>
      </c>
      <c r="S52" t="inlineStr"/>
    </row>
    <row r="53">
      <c r="A53" t="inlineStr">
        <is>
          <t>TST-SFD-46-01-01-07-000-14281</t>
        </is>
      </c>
      <c r="B53" t="inlineStr">
        <is>
          <t>COLUMN</t>
        </is>
      </c>
      <c r="C53" t="inlineStr">
        <is>
          <t>3C2</t>
        </is>
      </c>
      <c r="D53" t="inlineStr">
        <is>
          <t>3p511</t>
        </is>
      </c>
      <c r="E53" t="inlineStr">
        <is>
          <t>PL20</t>
        </is>
      </c>
      <c r="F53" t="n">
        <v>630</v>
      </c>
      <c r="G53" t="n">
        <v>1105.5</v>
      </c>
      <c r="H53" t="n">
        <v>1</v>
      </c>
      <c r="I53" t="n">
        <v>1</v>
      </c>
      <c r="J53">
        <f>H53*I53</f>
        <v/>
      </c>
      <c r="K53">
        <f>7.85*20</f>
        <v/>
      </c>
      <c r="L53">
        <f>(F53/1000)*(G53/1000)*H53*K53</f>
        <v/>
      </c>
      <c r="M53">
        <f>L53*I53</f>
        <v/>
      </c>
      <c r="N53" t="n">
        <v>109.26</v>
      </c>
      <c r="O53">
        <f>N53*I53</f>
        <v/>
      </c>
      <c r="P53">
        <f>M53-O53</f>
        <v/>
      </c>
      <c r="Q53" t="inlineStr">
        <is>
          <t>E350A</t>
        </is>
      </c>
      <c r="R53" t="inlineStr">
        <is>
          <t>7.85 x t</t>
        </is>
      </c>
      <c r="S53" t="inlineStr"/>
    </row>
    <row r="54">
      <c r="A54" t="inlineStr">
        <is>
          <t>TST-SFD-46-01-01-07-000-14281</t>
        </is>
      </c>
      <c r="B54" t="inlineStr">
        <is>
          <t>COLUMN</t>
        </is>
      </c>
      <c r="C54" t="inlineStr">
        <is>
          <t>3C2</t>
        </is>
      </c>
      <c r="D54" t="inlineStr">
        <is>
          <t>3p518</t>
        </is>
      </c>
      <c r="E54" t="inlineStr">
        <is>
          <t>PL20</t>
        </is>
      </c>
      <c r="F54" t="n">
        <v>630</v>
      </c>
      <c r="G54" t="n">
        <v>1105.5</v>
      </c>
      <c r="H54" t="n">
        <v>1</v>
      </c>
      <c r="I54" t="n">
        <v>1</v>
      </c>
      <c r="J54">
        <f>H54*I54</f>
        <v/>
      </c>
      <c r="K54">
        <f>7.85*20</f>
        <v/>
      </c>
      <c r="L54">
        <f>(F54/1000)*(G54/1000)*H54*K54</f>
        <v/>
      </c>
      <c r="M54">
        <f>L54*I54</f>
        <v/>
      </c>
      <c r="N54" t="n">
        <v>109.26</v>
      </c>
      <c r="O54">
        <f>N54*I54</f>
        <v/>
      </c>
      <c r="P54">
        <f>M54-O54</f>
        <v/>
      </c>
      <c r="Q54" t="inlineStr">
        <is>
          <t>E350A</t>
        </is>
      </c>
      <c r="R54" t="inlineStr">
        <is>
          <t>7.85 x t</t>
        </is>
      </c>
      <c r="S54" t="inlineStr"/>
    </row>
    <row r="55">
      <c r="A55" t="inlineStr">
        <is>
          <t>TST-SFD-46-01-01-07-000-14281</t>
        </is>
      </c>
      <c r="B55" t="inlineStr">
        <is>
          <t>COLUMN</t>
        </is>
      </c>
      <c r="C55" t="inlineStr">
        <is>
          <t>3C2</t>
        </is>
      </c>
      <c r="D55" t="inlineStr">
        <is>
          <t>3p525</t>
        </is>
      </c>
      <c r="E55" t="inlineStr">
        <is>
          <t>PL16</t>
        </is>
      </c>
      <c r="F55" t="n">
        <v>359</v>
      </c>
      <c r="G55" t="n">
        <v>475</v>
      </c>
      <c r="H55" t="n">
        <v>2</v>
      </c>
      <c r="I55" t="n">
        <v>1</v>
      </c>
      <c r="J55">
        <f>H55*I55</f>
        <v/>
      </c>
      <c r="K55">
        <f>7.85*16</f>
        <v/>
      </c>
      <c r="L55">
        <f>(F55/1000)*(G55/1000)*H55*K55</f>
        <v/>
      </c>
      <c r="M55">
        <f>L55*I55</f>
        <v/>
      </c>
      <c r="N55" t="n">
        <v>42.84</v>
      </c>
      <c r="O55">
        <f>N55*I55</f>
        <v/>
      </c>
      <c r="P55">
        <f>M55-O55</f>
        <v/>
      </c>
      <c r="Q55" t="inlineStr">
        <is>
          <t>E350A</t>
        </is>
      </c>
      <c r="R55" t="inlineStr">
        <is>
          <t>7.85 x t</t>
        </is>
      </c>
      <c r="S55" t="inlineStr"/>
    </row>
    <row r="56">
      <c r="A56" t="inlineStr">
        <is>
          <t>TST-SFD-46-01-01-07-000-14281</t>
        </is>
      </c>
      <c r="B56" t="inlineStr">
        <is>
          <t>COLUMN</t>
        </is>
      </c>
      <c r="C56" t="inlineStr">
        <is>
          <t>3C2</t>
        </is>
      </c>
      <c r="D56" t="inlineStr">
        <is>
          <t>3p526</t>
        </is>
      </c>
      <c r="E56" t="inlineStr">
        <is>
          <t>PL25</t>
        </is>
      </c>
      <c r="F56" t="n">
        <v>200</v>
      </c>
      <c r="G56" t="n">
        <v>485</v>
      </c>
      <c r="H56" t="n">
        <v>1</v>
      </c>
      <c r="I56" t="n">
        <v>1</v>
      </c>
      <c r="J56">
        <f>H56*I56</f>
        <v/>
      </c>
      <c r="K56">
        <f>7.85*25</f>
        <v/>
      </c>
      <c r="L56">
        <f>(F56/1000)*(G56/1000)*H56*K56</f>
        <v/>
      </c>
      <c r="M56">
        <f>L56*I56</f>
        <v/>
      </c>
      <c r="N56" t="n">
        <v>19.04</v>
      </c>
      <c r="O56">
        <f>N56*I56</f>
        <v/>
      </c>
      <c r="P56">
        <f>M56-O56</f>
        <v/>
      </c>
      <c r="Q56" t="inlineStr">
        <is>
          <t>E350BR</t>
        </is>
      </c>
      <c r="R56" t="inlineStr">
        <is>
          <t>7.85 x t</t>
        </is>
      </c>
      <c r="S56" t="inlineStr"/>
    </row>
    <row r="57">
      <c r="A57" t="inlineStr">
        <is>
          <t>TST-SFD-46-01-01-07-000-14281</t>
        </is>
      </c>
      <c r="B57" t="inlineStr">
        <is>
          <t>COLUMN</t>
        </is>
      </c>
      <c r="C57" t="inlineStr">
        <is>
          <t>3C2</t>
        </is>
      </c>
      <c r="D57" t="inlineStr">
        <is>
          <t>3p527</t>
        </is>
      </c>
      <c r="E57" t="inlineStr">
        <is>
          <t>PL25</t>
        </is>
      </c>
      <c r="F57" t="n">
        <v>230</v>
      </c>
      <c r="G57" t="n">
        <v>571</v>
      </c>
      <c r="H57" t="n">
        <v>2</v>
      </c>
      <c r="I57" t="n">
        <v>1</v>
      </c>
      <c r="J57">
        <f>H57*I57</f>
        <v/>
      </c>
      <c r="K57">
        <f>7.85*25</f>
        <v/>
      </c>
      <c r="L57">
        <f>(F57/1000)*(G57/1000)*H57*K57</f>
        <v/>
      </c>
      <c r="M57">
        <f>L57*I57</f>
        <v/>
      </c>
      <c r="N57" t="n">
        <v>51.55</v>
      </c>
      <c r="O57">
        <f>N57*I57</f>
        <v/>
      </c>
      <c r="P57">
        <f>M57-O57</f>
        <v/>
      </c>
      <c r="Q57" t="inlineStr">
        <is>
          <t>E350BR</t>
        </is>
      </c>
      <c r="R57" t="inlineStr">
        <is>
          <t>7.85 x t</t>
        </is>
      </c>
      <c r="S57" t="inlineStr"/>
    </row>
    <row r="58">
      <c r="A58" t="inlineStr">
        <is>
          <t>TST-SFD-46-01-01-07-000-14281</t>
        </is>
      </c>
      <c r="B58" t="inlineStr">
        <is>
          <t>COLUMN</t>
        </is>
      </c>
      <c r="C58" t="inlineStr">
        <is>
          <t>3C2</t>
        </is>
      </c>
      <c r="D58" t="inlineStr">
        <is>
          <t>3p528</t>
        </is>
      </c>
      <c r="E58" t="inlineStr">
        <is>
          <t>PL25</t>
        </is>
      </c>
      <c r="F58" t="n">
        <v>200</v>
      </c>
      <c r="G58" t="n">
        <v>485</v>
      </c>
      <c r="H58" t="n">
        <v>1</v>
      </c>
      <c r="I58" t="n">
        <v>1</v>
      </c>
      <c r="J58">
        <f>H58*I58</f>
        <v/>
      </c>
      <c r="K58">
        <f>7.85*25</f>
        <v/>
      </c>
      <c r="L58">
        <f>(F58/1000)*(G58/1000)*H58*K58</f>
        <v/>
      </c>
      <c r="M58">
        <f>L58*I58</f>
        <v/>
      </c>
      <c r="N58" t="n">
        <v>19.04</v>
      </c>
      <c r="O58">
        <f>N58*I58</f>
        <v/>
      </c>
      <c r="P58">
        <f>M58-O58</f>
        <v/>
      </c>
      <c r="Q58" t="inlineStr">
        <is>
          <t>E350BR</t>
        </is>
      </c>
      <c r="R58" t="inlineStr">
        <is>
          <t>7.85 x t</t>
        </is>
      </c>
      <c r="S58" t="inlineStr"/>
    </row>
    <row r="59">
      <c r="A59" t="inlineStr">
        <is>
          <t>TST-SFD-46-01-01-07-000-14281</t>
        </is>
      </c>
      <c r="B59" t="inlineStr">
        <is>
          <t>COLUMN</t>
        </is>
      </c>
      <c r="C59" t="inlineStr">
        <is>
          <t>3C2</t>
        </is>
      </c>
      <c r="D59" t="inlineStr">
        <is>
          <t>3p530</t>
        </is>
      </c>
      <c r="E59" t="inlineStr">
        <is>
          <t>PL14</t>
        </is>
      </c>
      <c r="F59" t="n">
        <v>452</v>
      </c>
      <c r="G59" t="n">
        <v>517.2</v>
      </c>
      <c r="H59" t="n">
        <v>2</v>
      </c>
      <c r="I59" t="n">
        <v>1</v>
      </c>
      <c r="J59">
        <f>H59*I59</f>
        <v/>
      </c>
      <c r="K59">
        <f>7.85*14</f>
        <v/>
      </c>
      <c r="L59">
        <f>(F59/1000)*(G59/1000)*H59*K59</f>
        <v/>
      </c>
      <c r="M59">
        <f>L59*I59</f>
        <v/>
      </c>
      <c r="N59" t="n">
        <v>51.41</v>
      </c>
      <c r="O59">
        <f>N59*I59</f>
        <v/>
      </c>
      <c r="P59">
        <f>M59-O59</f>
        <v/>
      </c>
      <c r="Q59" t="inlineStr">
        <is>
          <t>E350A</t>
        </is>
      </c>
      <c r="R59" t="inlineStr">
        <is>
          <t>7.85 x t</t>
        </is>
      </c>
      <c r="S59" t="inlineStr"/>
    </row>
    <row r="60">
      <c r="A60" t="inlineStr">
        <is>
          <t>TST-SFD-46-01-01-07-000-14281</t>
        </is>
      </c>
      <c r="B60" t="inlineStr">
        <is>
          <t>COLUMN</t>
        </is>
      </c>
      <c r="C60" t="inlineStr">
        <is>
          <t>3C2</t>
        </is>
      </c>
      <c r="D60" t="inlineStr">
        <is>
          <t>3p531</t>
        </is>
      </c>
      <c r="E60" t="inlineStr">
        <is>
          <t>PL20</t>
        </is>
      </c>
      <c r="F60" t="n">
        <v>630</v>
      </c>
      <c r="G60" t="n">
        <v>630</v>
      </c>
      <c r="H60" t="n">
        <v>2</v>
      </c>
      <c r="I60" t="n">
        <v>1</v>
      </c>
      <c r="J60">
        <f>H60*I60</f>
        <v/>
      </c>
      <c r="K60">
        <f>7.85*20</f>
        <v/>
      </c>
      <c r="L60">
        <f>(F60/1000)*(G60/1000)*H60*K60</f>
        <v/>
      </c>
      <c r="M60">
        <f>L60*I60</f>
        <v/>
      </c>
      <c r="N60" t="n">
        <v>124.53</v>
      </c>
      <c r="O60">
        <f>N60*I60</f>
        <v/>
      </c>
      <c r="P60">
        <f>M60-O60</f>
        <v/>
      </c>
      <c r="Q60" t="inlineStr">
        <is>
          <t>E350A</t>
        </is>
      </c>
      <c r="R60" t="inlineStr">
        <is>
          <t>7.85 x t</t>
        </is>
      </c>
      <c r="S60" t="inlineStr"/>
    </row>
    <row r="61">
      <c r="A61" t="inlineStr">
        <is>
          <t>TST-SFD-46-01-01-07-000-14281</t>
        </is>
      </c>
      <c r="B61" t="inlineStr">
        <is>
          <t>COLUMN</t>
        </is>
      </c>
      <c r="C61" t="inlineStr">
        <is>
          <t>3C2</t>
        </is>
      </c>
      <c r="D61" t="inlineStr">
        <is>
          <t>3p557</t>
        </is>
      </c>
      <c r="E61" t="inlineStr">
        <is>
          <t>PL25</t>
        </is>
      </c>
      <c r="F61" t="n">
        <v>234</v>
      </c>
      <c r="G61" t="n">
        <v>1120</v>
      </c>
      <c r="H61" t="n">
        <v>8</v>
      </c>
      <c r="I61" t="n">
        <v>1</v>
      </c>
      <c r="J61">
        <f>H61*I61</f>
        <v/>
      </c>
      <c r="K61">
        <f>7.85*25</f>
        <v/>
      </c>
      <c r="L61">
        <f>(F61/1000)*(G61/1000)*H61*K61</f>
        <v/>
      </c>
      <c r="M61">
        <f>L61*I61</f>
        <v/>
      </c>
      <c r="N61" t="n">
        <v>411.47</v>
      </c>
      <c r="O61">
        <f>N61*I61</f>
        <v/>
      </c>
      <c r="P61">
        <f>M61-O61</f>
        <v/>
      </c>
      <c r="Q61" t="inlineStr">
        <is>
          <t>E350BR</t>
        </is>
      </c>
      <c r="R61" t="inlineStr">
        <is>
          <t>7.85 x t</t>
        </is>
      </c>
      <c r="S61" t="inlineStr"/>
    </row>
    <row r="62">
      <c r="A62" t="inlineStr">
        <is>
          <t>TST-SFD-46-01-01-07-000-14281</t>
        </is>
      </c>
      <c r="B62" t="inlineStr">
        <is>
          <t>COLUMN</t>
        </is>
      </c>
      <c r="C62" t="inlineStr">
        <is>
          <t>3C2</t>
        </is>
      </c>
      <c r="D62" t="inlineStr">
        <is>
          <t>3p567</t>
        </is>
      </c>
      <c r="E62" t="inlineStr">
        <is>
          <t>PL12</t>
        </is>
      </c>
      <c r="F62" t="n">
        <v>200</v>
      </c>
      <c r="G62" t="n">
        <v>631</v>
      </c>
      <c r="H62" t="n">
        <v>7</v>
      </c>
      <c r="I62" t="n">
        <v>1</v>
      </c>
      <c r="J62">
        <f>H62*I62</f>
        <v/>
      </c>
      <c r="K62">
        <f>7.85*12</f>
        <v/>
      </c>
      <c r="L62">
        <f>(F62/1000)*(G62/1000)*H62*K62</f>
        <v/>
      </c>
      <c r="M62">
        <f>L62*I62</f>
        <v/>
      </c>
      <c r="N62" t="n">
        <v>83.22</v>
      </c>
      <c r="O62">
        <f>N62*I62</f>
        <v/>
      </c>
      <c r="P62">
        <f>M62-O62</f>
        <v/>
      </c>
      <c r="Q62" t="inlineStr">
        <is>
          <t>E350A</t>
        </is>
      </c>
      <c r="R62" t="inlineStr">
        <is>
          <t>7.85 x t</t>
        </is>
      </c>
      <c r="S62" t="inlineStr"/>
    </row>
    <row r="63">
      <c r="A63" t="inlineStr">
        <is>
          <t>TST-SFD-46-01-01-07-000-14281</t>
        </is>
      </c>
      <c r="B63" t="inlineStr">
        <is>
          <t>COLUMN</t>
        </is>
      </c>
      <c r="C63" t="inlineStr">
        <is>
          <t>3C2</t>
        </is>
      </c>
      <c r="D63" t="inlineStr">
        <is>
          <t>3p569</t>
        </is>
      </c>
      <c r="E63" t="inlineStr">
        <is>
          <t>PL16</t>
        </is>
      </c>
      <c r="F63" t="n">
        <v>260</v>
      </c>
      <c r="G63" t="n">
        <v>629</v>
      </c>
      <c r="H63" t="n">
        <v>11</v>
      </c>
      <c r="I63" t="n">
        <v>1</v>
      </c>
      <c r="J63">
        <f>H63*I63</f>
        <v/>
      </c>
      <c r="K63">
        <f>7.85*16</f>
        <v/>
      </c>
      <c r="L63">
        <f>(F63/1000)*(G63/1000)*H63*K63</f>
        <v/>
      </c>
      <c r="M63">
        <f>L63*I63</f>
        <v/>
      </c>
      <c r="N63" t="n">
        <v>225.95</v>
      </c>
      <c r="O63">
        <f>N63*I63</f>
        <v/>
      </c>
      <c r="P63">
        <f>M63-O63</f>
        <v/>
      </c>
      <c r="Q63" t="inlineStr">
        <is>
          <t>E350A</t>
        </is>
      </c>
      <c r="R63" t="inlineStr">
        <is>
          <t>7.85 x t</t>
        </is>
      </c>
      <c r="S63" t="inlineStr"/>
    </row>
    <row r="64">
      <c r="A64" t="inlineStr">
        <is>
          <t>TST-SFD-46-01-01-07-000-14281</t>
        </is>
      </c>
      <c r="B64" t="inlineStr">
        <is>
          <t>COLUMN</t>
        </is>
      </c>
      <c r="C64" t="inlineStr">
        <is>
          <t>3C2</t>
        </is>
      </c>
      <c r="D64" t="inlineStr">
        <is>
          <t>3p586</t>
        </is>
      </c>
      <c r="E64" t="inlineStr">
        <is>
          <t>PL12</t>
        </is>
      </c>
      <c r="F64" t="n">
        <v>164</v>
      </c>
      <c r="G64" t="n">
        <v>631</v>
      </c>
      <c r="H64" t="n">
        <v>4</v>
      </c>
      <c r="I64" t="n">
        <v>1</v>
      </c>
      <c r="J64">
        <f>H64*I64</f>
        <v/>
      </c>
      <c r="K64">
        <f>7.85*12</f>
        <v/>
      </c>
      <c r="L64">
        <f>(F64/1000)*(G64/1000)*H64*K64</f>
        <v/>
      </c>
      <c r="M64">
        <f>L64*I64</f>
        <v/>
      </c>
      <c r="N64" t="n">
        <v>38.99</v>
      </c>
      <c r="O64">
        <f>N64*I64</f>
        <v/>
      </c>
      <c r="P64">
        <f>M64-O64</f>
        <v/>
      </c>
      <c r="Q64" t="inlineStr">
        <is>
          <t>E350A</t>
        </is>
      </c>
      <c r="R64" t="inlineStr">
        <is>
          <t>7.85 x t</t>
        </is>
      </c>
      <c r="S64" t="inlineStr"/>
    </row>
    <row r="65">
      <c r="A65" t="inlineStr">
        <is>
          <t>TST-SFD-46-01-01-07-000-14281</t>
        </is>
      </c>
      <c r="B65" t="inlineStr">
        <is>
          <t>COLUMN</t>
        </is>
      </c>
      <c r="C65" t="inlineStr">
        <is>
          <t>3C2</t>
        </is>
      </c>
      <c r="D65" t="inlineStr">
        <is>
          <t>3p615</t>
        </is>
      </c>
      <c r="E65" t="inlineStr">
        <is>
          <t>PL12</t>
        </is>
      </c>
      <c r="F65" t="n">
        <v>250</v>
      </c>
      <c r="G65" t="n">
        <v>561</v>
      </c>
      <c r="H65" t="n">
        <v>2</v>
      </c>
      <c r="I65" t="n">
        <v>1</v>
      </c>
      <c r="J65">
        <f>H65*I65</f>
        <v/>
      </c>
      <c r="K65">
        <f>7.85*12</f>
        <v/>
      </c>
      <c r="L65">
        <f>(F65/1000)*(G65/1000)*H65*K65</f>
        <v/>
      </c>
      <c r="M65">
        <f>L65*I65</f>
        <v/>
      </c>
      <c r="N65" t="n">
        <v>26.42</v>
      </c>
      <c r="O65">
        <f>N65*I65</f>
        <v/>
      </c>
      <c r="P65">
        <f>M65-O65</f>
        <v/>
      </c>
      <c r="Q65" t="inlineStr">
        <is>
          <t>E350A</t>
        </is>
      </c>
      <c r="R65" t="inlineStr">
        <is>
          <t>7.85 x t</t>
        </is>
      </c>
      <c r="S65" t="inlineStr"/>
    </row>
    <row r="66">
      <c r="A66" t="inlineStr">
        <is>
          <t>TST-SFD-46-01-01-07-000-14281</t>
        </is>
      </c>
      <c r="B66" t="inlineStr">
        <is>
          <t>COLUMN</t>
        </is>
      </c>
      <c r="C66" t="inlineStr">
        <is>
          <t>3C2</t>
        </is>
      </c>
      <c r="D66" t="inlineStr">
        <is>
          <t>3p616</t>
        </is>
      </c>
      <c r="E66" t="inlineStr">
        <is>
          <t>PL20</t>
        </is>
      </c>
      <c r="F66" t="n">
        <v>200</v>
      </c>
      <c r="G66" t="n">
        <v>411</v>
      </c>
      <c r="H66" t="n">
        <v>2</v>
      </c>
      <c r="I66" t="n">
        <v>1</v>
      </c>
      <c r="J66">
        <f>H66*I66</f>
        <v/>
      </c>
      <c r="K66">
        <f>7.85*20</f>
        <v/>
      </c>
      <c r="L66">
        <f>(F66/1000)*(G66/1000)*H66*K66</f>
        <v/>
      </c>
      <c r="M66">
        <f>L66*I66</f>
        <v/>
      </c>
      <c r="N66" t="n">
        <v>25.81</v>
      </c>
      <c r="O66">
        <f>N66*I66</f>
        <v/>
      </c>
      <c r="P66">
        <f>M66-O66</f>
        <v/>
      </c>
      <c r="Q66" t="inlineStr">
        <is>
          <t>E350A</t>
        </is>
      </c>
      <c r="R66" t="inlineStr">
        <is>
          <t>7.85 x t</t>
        </is>
      </c>
      <c r="S66" t="inlineStr"/>
    </row>
    <row r="67">
      <c r="A67" t="inlineStr">
        <is>
          <t>TST-SFD-46-01-01-07-000-14281</t>
        </is>
      </c>
      <c r="B67" t="inlineStr">
        <is>
          <t>COLUMN</t>
        </is>
      </c>
      <c r="C67" t="inlineStr">
        <is>
          <t>3C2</t>
        </is>
      </c>
      <c r="D67" t="inlineStr">
        <is>
          <t>3p617</t>
        </is>
      </c>
      <c r="E67" t="inlineStr">
        <is>
          <t>PL20</t>
        </is>
      </c>
      <c r="F67" t="n">
        <v>200</v>
      </c>
      <c r="G67" t="n">
        <v>229</v>
      </c>
      <c r="H67" t="n">
        <v>2</v>
      </c>
      <c r="I67" t="n">
        <v>1</v>
      </c>
      <c r="J67">
        <f>H67*I67</f>
        <v/>
      </c>
      <c r="K67">
        <f>7.85*20</f>
        <v/>
      </c>
      <c r="L67">
        <f>(F67/1000)*(G67/1000)*H67*K67</f>
        <v/>
      </c>
      <c r="M67">
        <f>L67*I67</f>
        <v/>
      </c>
      <c r="N67" t="n">
        <v>14.38</v>
      </c>
      <c r="O67">
        <f>N67*I67</f>
        <v/>
      </c>
      <c r="P67">
        <f>M67-O67</f>
        <v/>
      </c>
      <c r="Q67" t="inlineStr">
        <is>
          <t>E350A</t>
        </is>
      </c>
      <c r="R67" t="inlineStr">
        <is>
          <t>7.85 x t</t>
        </is>
      </c>
      <c r="S67" t="inlineStr"/>
    </row>
    <row r="68">
      <c r="A68" t="inlineStr">
        <is>
          <t>TST-SFD-46-01-01-07-000-14281</t>
        </is>
      </c>
      <c r="B68" t="inlineStr">
        <is>
          <t>COLUMN</t>
        </is>
      </c>
      <c r="C68" t="inlineStr">
        <is>
          <t>3C2</t>
        </is>
      </c>
      <c r="D68" t="inlineStr">
        <is>
          <t>3p618</t>
        </is>
      </c>
      <c r="E68" t="inlineStr">
        <is>
          <t>PL10</t>
        </is>
      </c>
      <c r="F68" t="n">
        <v>229</v>
      </c>
      <c r="G68" t="n">
        <v>380</v>
      </c>
      <c r="H68" t="n">
        <v>2</v>
      </c>
      <c r="I68" t="n">
        <v>1</v>
      </c>
      <c r="J68">
        <f>H68*I68</f>
        <v/>
      </c>
      <c r="K68">
        <f>7.85*10</f>
        <v/>
      </c>
      <c r="L68">
        <f>(F68/1000)*(G68/1000)*H68*K68</f>
        <v/>
      </c>
      <c r="M68">
        <f>L68*I68</f>
        <v/>
      </c>
      <c r="N68" t="n">
        <v>13.66</v>
      </c>
      <c r="O68">
        <f>N68*I68</f>
        <v/>
      </c>
      <c r="P68">
        <f>M68-O68</f>
        <v/>
      </c>
      <c r="Q68" t="inlineStr">
        <is>
          <t>E350A</t>
        </is>
      </c>
      <c r="R68" t="inlineStr">
        <is>
          <t>7.85 x t</t>
        </is>
      </c>
      <c r="S68" t="inlineStr"/>
    </row>
    <row r="69">
      <c r="A69" t="inlineStr">
        <is>
          <t>TST-SFD-46-01-01-07-000-14281</t>
        </is>
      </c>
      <c r="B69" t="inlineStr">
        <is>
          <t>COLUMN</t>
        </is>
      </c>
      <c r="C69" t="inlineStr">
        <is>
          <t>3C2</t>
        </is>
      </c>
      <c r="D69" t="inlineStr">
        <is>
          <t>3p620</t>
        </is>
      </c>
      <c r="E69" t="inlineStr">
        <is>
          <t>PL20</t>
        </is>
      </c>
      <c r="F69" t="n">
        <v>200</v>
      </c>
      <c r="G69" t="n">
        <v>390</v>
      </c>
      <c r="H69" t="n">
        <v>2</v>
      </c>
      <c r="I69" t="n">
        <v>1</v>
      </c>
      <c r="J69">
        <f>H69*I69</f>
        <v/>
      </c>
      <c r="K69">
        <f>7.85*20</f>
        <v/>
      </c>
      <c r="L69">
        <f>(F69/1000)*(G69/1000)*H69*K69</f>
        <v/>
      </c>
      <c r="M69">
        <f>L69*I69</f>
        <v/>
      </c>
      <c r="N69" t="n">
        <v>24.49</v>
      </c>
      <c r="O69">
        <f>N69*I69</f>
        <v/>
      </c>
      <c r="P69">
        <f>M69-O69</f>
        <v/>
      </c>
      <c r="Q69" t="inlineStr">
        <is>
          <t>E350A</t>
        </is>
      </c>
      <c r="R69" t="inlineStr">
        <is>
          <t>7.85 x t</t>
        </is>
      </c>
      <c r="S69" t="inlineStr"/>
    </row>
    <row r="70">
      <c r="A70" t="inlineStr">
        <is>
          <t>TST-SFD-46-01-01-07-000-14281</t>
        </is>
      </c>
      <c r="B70" t="inlineStr">
        <is>
          <t>COLUMN</t>
        </is>
      </c>
      <c r="C70" t="inlineStr">
        <is>
          <t>3C2</t>
        </is>
      </c>
      <c r="D70" t="inlineStr">
        <is>
          <t>3p622</t>
        </is>
      </c>
      <c r="E70" t="inlineStr">
        <is>
          <t>PL25</t>
        </is>
      </c>
      <c r="F70" t="n">
        <v>200</v>
      </c>
      <c r="G70" t="n">
        <v>548</v>
      </c>
      <c r="H70" t="n">
        <v>2</v>
      </c>
      <c r="I70" t="n">
        <v>1</v>
      </c>
      <c r="J70">
        <f>H70*I70</f>
        <v/>
      </c>
      <c r="K70">
        <f>7.85*25</f>
        <v/>
      </c>
      <c r="L70">
        <f>(F70/1000)*(G70/1000)*H70*K70</f>
        <v/>
      </c>
      <c r="M70">
        <f>L70*I70</f>
        <v/>
      </c>
      <c r="N70" t="n">
        <v>43.02</v>
      </c>
      <c r="O70">
        <f>N70*I70</f>
        <v/>
      </c>
      <c r="P70">
        <f>M70-O70</f>
        <v/>
      </c>
      <c r="Q70" t="inlineStr">
        <is>
          <t>E350BR</t>
        </is>
      </c>
      <c r="R70" t="inlineStr">
        <is>
          <t>7.85 x t</t>
        </is>
      </c>
      <c r="S70" t="inlineStr"/>
    </row>
    <row r="71">
      <c r="A71" t="inlineStr">
        <is>
          <t>TST-SFD-46-01-01-07-000-14281</t>
        </is>
      </c>
      <c r="B71" t="inlineStr">
        <is>
          <t>COLUMN</t>
        </is>
      </c>
      <c r="C71" t="inlineStr">
        <is>
          <t>3C2</t>
        </is>
      </c>
      <c r="D71" t="inlineStr">
        <is>
          <t>3p623</t>
        </is>
      </c>
      <c r="E71" t="inlineStr">
        <is>
          <t>PL25</t>
        </is>
      </c>
      <c r="F71" t="n">
        <v>200</v>
      </c>
      <c r="G71" t="n">
        <v>350</v>
      </c>
      <c r="H71" t="n">
        <v>2</v>
      </c>
      <c r="I71" t="n">
        <v>1</v>
      </c>
      <c r="J71">
        <f>H71*I71</f>
        <v/>
      </c>
      <c r="K71">
        <f>7.85*25</f>
        <v/>
      </c>
      <c r="L71">
        <f>(F71/1000)*(G71/1000)*H71*K71</f>
        <v/>
      </c>
      <c r="M71">
        <f>L71*I71</f>
        <v/>
      </c>
      <c r="N71" t="n">
        <v>27.47</v>
      </c>
      <c r="O71">
        <f>N71*I71</f>
        <v/>
      </c>
      <c r="P71">
        <f>M71-O71</f>
        <v/>
      </c>
      <c r="Q71" t="inlineStr">
        <is>
          <t>E350BR</t>
        </is>
      </c>
      <c r="R71" t="inlineStr">
        <is>
          <t>7.85 x t</t>
        </is>
      </c>
      <c r="S71" t="inlineStr"/>
    </row>
    <row r="72">
      <c r="A72" t="inlineStr">
        <is>
          <t>TST-SFD-46-01-01-07-000-14281</t>
        </is>
      </c>
      <c r="B72" t="inlineStr">
        <is>
          <t>COLUMN</t>
        </is>
      </c>
      <c r="C72" t="inlineStr">
        <is>
          <t>3C2</t>
        </is>
      </c>
      <c r="D72" t="inlineStr">
        <is>
          <t>3p624</t>
        </is>
      </c>
      <c r="E72" t="inlineStr">
        <is>
          <t>PL10</t>
        </is>
      </c>
      <c r="F72" t="n">
        <v>250</v>
      </c>
      <c r="G72" t="n">
        <v>548</v>
      </c>
      <c r="H72" t="n">
        <v>2</v>
      </c>
      <c r="I72" t="n">
        <v>1</v>
      </c>
      <c r="J72">
        <f>H72*I72</f>
        <v/>
      </c>
      <c r="K72">
        <f>7.85*10</f>
        <v/>
      </c>
      <c r="L72">
        <f>(F72/1000)*(G72/1000)*H72*K72</f>
        <v/>
      </c>
      <c r="M72">
        <f>L72*I72</f>
        <v/>
      </c>
      <c r="N72" t="n">
        <v>21.51</v>
      </c>
      <c r="O72">
        <f>N72*I72</f>
        <v/>
      </c>
      <c r="P72">
        <f>M72-O72</f>
        <v/>
      </c>
      <c r="Q72" t="inlineStr">
        <is>
          <t>E350A</t>
        </is>
      </c>
      <c r="R72" t="inlineStr">
        <is>
          <t>7.85 x t</t>
        </is>
      </c>
      <c r="S72" t="inlineStr"/>
    </row>
    <row r="73">
      <c r="A73" t="inlineStr">
        <is>
          <t>TST-SFD-46-01-01-07-000-14281</t>
        </is>
      </c>
      <c r="B73" t="inlineStr">
        <is>
          <t>COLUMN</t>
        </is>
      </c>
      <c r="C73" t="inlineStr">
        <is>
          <t>3C2</t>
        </is>
      </c>
      <c r="D73" t="inlineStr">
        <is>
          <t>3p625</t>
        </is>
      </c>
      <c r="E73" t="inlineStr">
        <is>
          <t>PL25</t>
        </is>
      </c>
      <c r="F73" t="n">
        <v>200</v>
      </c>
      <c r="G73" t="n">
        <v>385</v>
      </c>
      <c r="H73" t="n">
        <v>3</v>
      </c>
      <c r="I73" t="n">
        <v>1</v>
      </c>
      <c r="J73">
        <f>H73*I73</f>
        <v/>
      </c>
      <c r="K73">
        <f>7.85*25</f>
        <v/>
      </c>
      <c r="L73">
        <f>(F73/1000)*(G73/1000)*H73*K73</f>
        <v/>
      </c>
      <c r="M73">
        <f>L73*I73</f>
        <v/>
      </c>
      <c r="N73" t="n">
        <v>45.33</v>
      </c>
      <c r="O73">
        <f>N73*I73</f>
        <v/>
      </c>
      <c r="P73">
        <f>M73-O73</f>
        <v/>
      </c>
      <c r="Q73" t="inlineStr">
        <is>
          <t>E350BR</t>
        </is>
      </c>
      <c r="R73" t="inlineStr">
        <is>
          <t>7.85 x t</t>
        </is>
      </c>
      <c r="S73" t="inlineStr"/>
    </row>
    <row r="74">
      <c r="A74" t="inlineStr">
        <is>
          <t>TST-SFD-46-01-01-07-000-14281</t>
        </is>
      </c>
      <c r="B74" t="inlineStr">
        <is>
          <t>COLUMN</t>
        </is>
      </c>
      <c r="C74" t="inlineStr">
        <is>
          <t>3C2</t>
        </is>
      </c>
      <c r="D74" t="inlineStr">
        <is>
          <t>3p626</t>
        </is>
      </c>
      <c r="E74" t="inlineStr">
        <is>
          <t>PL12</t>
        </is>
      </c>
      <c r="F74" t="n">
        <v>350</v>
      </c>
      <c r="G74" t="n">
        <v>375</v>
      </c>
      <c r="H74" t="n">
        <v>2</v>
      </c>
      <c r="I74" t="n">
        <v>1</v>
      </c>
      <c r="J74">
        <f>H74*I74</f>
        <v/>
      </c>
      <c r="K74">
        <f>7.85*12</f>
        <v/>
      </c>
      <c r="L74">
        <f>(F74/1000)*(G74/1000)*H74*K74</f>
        <v/>
      </c>
      <c r="M74">
        <f>L74*I74</f>
        <v/>
      </c>
      <c r="N74" t="n">
        <v>24.73</v>
      </c>
      <c r="O74">
        <f>N74*I74</f>
        <v/>
      </c>
      <c r="P74">
        <f>M74-O74</f>
        <v/>
      </c>
      <c r="Q74" t="inlineStr">
        <is>
          <t>E350A</t>
        </is>
      </c>
      <c r="R74" t="inlineStr">
        <is>
          <t>7.85 x t</t>
        </is>
      </c>
      <c r="S74" t="inlineStr"/>
    </row>
    <row r="75">
      <c r="A75" t="inlineStr">
        <is>
          <t>TST-SFD-46-01-01-07-000-14281</t>
        </is>
      </c>
      <c r="B75" t="inlineStr">
        <is>
          <t>COLUMN</t>
        </is>
      </c>
      <c r="C75" t="inlineStr">
        <is>
          <t>3C2</t>
        </is>
      </c>
      <c r="D75" t="inlineStr">
        <is>
          <t>3p627</t>
        </is>
      </c>
      <c r="E75" t="inlineStr">
        <is>
          <t>PL25</t>
        </is>
      </c>
      <c r="F75" t="n">
        <v>200</v>
      </c>
      <c r="G75" t="n">
        <v>473</v>
      </c>
      <c r="H75" t="n">
        <v>2</v>
      </c>
      <c r="I75" t="n">
        <v>1</v>
      </c>
      <c r="J75">
        <f>H75*I75</f>
        <v/>
      </c>
      <c r="K75">
        <f>7.85*25</f>
        <v/>
      </c>
      <c r="L75">
        <f>(F75/1000)*(G75/1000)*H75*K75</f>
        <v/>
      </c>
      <c r="M75">
        <f>L75*I75</f>
        <v/>
      </c>
      <c r="N75" t="n">
        <v>37.13</v>
      </c>
      <c r="O75">
        <f>N75*I75</f>
        <v/>
      </c>
      <c r="P75">
        <f>M75-O75</f>
        <v/>
      </c>
      <c r="Q75" t="inlineStr">
        <is>
          <t>E350BR</t>
        </is>
      </c>
      <c r="R75" t="inlineStr">
        <is>
          <t>7.85 x t</t>
        </is>
      </c>
      <c r="S75" t="inlineStr"/>
    </row>
    <row r="76">
      <c r="A76" t="inlineStr">
        <is>
          <t>TST-SFD-46-01-01-07-000-14281</t>
        </is>
      </c>
      <c r="B76" t="inlineStr">
        <is>
          <t>COLUMN</t>
        </is>
      </c>
      <c r="C76" t="inlineStr">
        <is>
          <t>3C2</t>
        </is>
      </c>
      <c r="D76" t="inlineStr">
        <is>
          <t>3p628</t>
        </is>
      </c>
      <c r="E76" t="inlineStr">
        <is>
          <t>PL25</t>
        </is>
      </c>
      <c r="F76" t="n">
        <v>200</v>
      </c>
      <c r="G76" t="n">
        <v>200</v>
      </c>
      <c r="H76" t="n">
        <v>2</v>
      </c>
      <c r="I76" t="n">
        <v>1</v>
      </c>
      <c r="J76">
        <f>H76*I76</f>
        <v/>
      </c>
      <c r="K76">
        <f>7.85*25</f>
        <v/>
      </c>
      <c r="L76">
        <f>(F76/1000)*(G76/1000)*H76*K76</f>
        <v/>
      </c>
      <c r="M76">
        <f>L76*I76</f>
        <v/>
      </c>
      <c r="N76" t="n">
        <v>15.7</v>
      </c>
      <c r="O76">
        <f>N76*I76</f>
        <v/>
      </c>
      <c r="P76">
        <f>M76-O76</f>
        <v/>
      </c>
      <c r="Q76" t="inlineStr">
        <is>
          <t>E350BR</t>
        </is>
      </c>
      <c r="R76" t="inlineStr">
        <is>
          <t>7.85 x t</t>
        </is>
      </c>
      <c r="S76" t="inlineStr"/>
    </row>
    <row r="77">
      <c r="A77" t="inlineStr">
        <is>
          <t>TST-SFD-46-01-01-07-000-14281</t>
        </is>
      </c>
      <c r="B77" t="inlineStr">
        <is>
          <t>COLUMN</t>
        </is>
      </c>
      <c r="C77" t="inlineStr">
        <is>
          <t>3C2</t>
        </is>
      </c>
      <c r="D77" t="inlineStr">
        <is>
          <t>3p630</t>
        </is>
      </c>
      <c r="E77" t="inlineStr">
        <is>
          <t>PL25</t>
        </is>
      </c>
      <c r="F77" t="n">
        <v>200</v>
      </c>
      <c r="G77" t="n">
        <v>385</v>
      </c>
      <c r="H77" t="n">
        <v>1</v>
      </c>
      <c r="I77" t="n">
        <v>1</v>
      </c>
      <c r="J77">
        <f>H77*I77</f>
        <v/>
      </c>
      <c r="K77">
        <f>7.85*25</f>
        <v/>
      </c>
      <c r="L77">
        <f>(F77/1000)*(G77/1000)*H77*K77</f>
        <v/>
      </c>
      <c r="M77">
        <f>L77*I77</f>
        <v/>
      </c>
      <c r="N77" t="n">
        <v>15.11</v>
      </c>
      <c r="O77">
        <f>N77*I77</f>
        <v/>
      </c>
      <c r="P77">
        <f>M77-O77</f>
        <v/>
      </c>
      <c r="Q77" t="inlineStr">
        <is>
          <t>E350BR</t>
        </is>
      </c>
      <c r="R77" t="inlineStr">
        <is>
          <t>7.85 x t</t>
        </is>
      </c>
      <c r="S77" t="inlineStr"/>
    </row>
    <row r="78">
      <c r="A78" t="inlineStr">
        <is>
          <t>TST-SFD-46-01-01-07-000-14281</t>
        </is>
      </c>
      <c r="B78" t="inlineStr">
        <is>
          <t>COLUMN</t>
        </is>
      </c>
      <c r="C78" t="inlineStr">
        <is>
          <t>3C2</t>
        </is>
      </c>
      <c r="D78" t="inlineStr">
        <is>
          <t>3p631</t>
        </is>
      </c>
      <c r="E78" t="inlineStr">
        <is>
          <t>PL12</t>
        </is>
      </c>
      <c r="F78" t="n">
        <v>200</v>
      </c>
      <c r="G78" t="n">
        <v>375</v>
      </c>
      <c r="H78" t="n">
        <v>2</v>
      </c>
      <c r="I78" t="n">
        <v>1</v>
      </c>
      <c r="J78">
        <f>H78*I78</f>
        <v/>
      </c>
      <c r="K78">
        <f>7.85*12</f>
        <v/>
      </c>
      <c r="L78">
        <f>(F78/1000)*(G78/1000)*H78*K78</f>
        <v/>
      </c>
      <c r="M78">
        <f>L78*I78</f>
        <v/>
      </c>
      <c r="N78" t="n">
        <v>14.13</v>
      </c>
      <c r="O78">
        <f>N78*I78</f>
        <v/>
      </c>
      <c r="P78">
        <f>M78-O78</f>
        <v/>
      </c>
      <c r="Q78" t="inlineStr">
        <is>
          <t>E350A</t>
        </is>
      </c>
      <c r="R78" t="inlineStr">
        <is>
          <t>7.85 x t</t>
        </is>
      </c>
      <c r="S78" t="inlineStr"/>
    </row>
    <row r="79">
      <c r="A79" t="inlineStr">
        <is>
          <t>TST-SFD-46-01-01-07-000-14281</t>
        </is>
      </c>
      <c r="B79" t="inlineStr">
        <is>
          <t>COLUMN</t>
        </is>
      </c>
      <c r="C79" t="inlineStr">
        <is>
          <t>3C2</t>
        </is>
      </c>
      <c r="D79" t="inlineStr">
        <is>
          <t>3p741</t>
        </is>
      </c>
      <c r="E79" t="inlineStr">
        <is>
          <t>PL14</t>
        </is>
      </c>
      <c r="F79" t="n">
        <v>471</v>
      </c>
      <c r="G79" t="n">
        <v>607.3</v>
      </c>
      <c r="H79" t="n">
        <v>2</v>
      </c>
      <c r="I79" t="n">
        <v>1</v>
      </c>
      <c r="J79">
        <f>H79*I79</f>
        <v/>
      </c>
      <c r="K79">
        <f>7.85*14</f>
        <v/>
      </c>
      <c r="L79">
        <f>(F79/1000)*(G79/1000)*H79*K79</f>
        <v/>
      </c>
      <c r="M79">
        <f>L79*I79</f>
        <v/>
      </c>
      <c r="N79" t="n">
        <v>62.92</v>
      </c>
      <c r="O79">
        <f>N79*I79</f>
        <v/>
      </c>
      <c r="P79">
        <f>M79-O79</f>
        <v/>
      </c>
      <c r="Q79" t="inlineStr">
        <is>
          <t>E350A</t>
        </is>
      </c>
      <c r="R79" t="inlineStr">
        <is>
          <t>7.85 x t</t>
        </is>
      </c>
      <c r="S7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drawing_no</t>
        </is>
      </c>
      <c r="B1" t="inlineStr">
        <is>
          <t>rev</t>
        </is>
      </c>
      <c r="C1" t="inlineStr">
        <is>
          <t>sheet</t>
        </is>
      </c>
      <c r="D1" t="inlineStr">
        <is>
          <t>size</t>
        </is>
      </c>
      <c r="E1" t="inlineStr">
        <is>
          <t>weight_kg</t>
        </is>
      </c>
      <c r="F1" t="inlineStr">
        <is>
          <t>department</t>
        </is>
      </c>
      <c r="G1" t="inlineStr">
        <is>
          <t>equip_area</t>
        </is>
      </c>
      <c r="H1" t="inlineStr">
        <is>
          <t>project</t>
        </is>
      </c>
      <c r="I1" t="inlineStr">
        <is>
          <t>title</t>
        </is>
      </c>
      <c r="J1" t="inlineStr">
        <is>
          <t>drawn</t>
        </is>
      </c>
      <c r="K1" t="inlineStr">
        <is>
          <t>checked</t>
        </is>
      </c>
      <c r="L1" t="inlineStr">
        <is>
          <t>approved</t>
        </is>
      </c>
      <c r="M1" t="inlineStr">
        <is>
          <t>assembly_mark</t>
        </is>
      </c>
      <c r="N1" t="inlineStr">
        <is>
          <t>erection_locations</t>
        </is>
      </c>
      <c r="O1" t="inlineStr">
        <is>
          <t>source_file</t>
        </is>
      </c>
    </row>
    <row r="2">
      <c r="A2" t="inlineStr">
        <is>
          <t>TST-SFD-46-01-01-07-000-14281</t>
        </is>
      </c>
      <c r="B2" t="inlineStr">
        <is>
          <t>0</t>
        </is>
      </c>
      <c r="C2" t="inlineStr">
        <is>
          <t>1 OF 1</t>
        </is>
      </c>
      <c r="D2" t="inlineStr">
        <is>
          <t>A0</t>
        </is>
      </c>
      <c r="E2" t="n">
        <v>26121.53</v>
      </c>
      <c r="F2" t="inlineStr">
        <is>
          <t>DESIGN &amp; ENGINEERING-STRUCTURAL</t>
        </is>
      </c>
      <c r="G2" t="inlineStr">
        <is>
          <t>HOT ROLLED PICKLING GALVANIZING LINE (HRPGL)</t>
        </is>
      </c>
      <c r="H2" t="inlineStr">
        <is>
          <t>CRC WEST TARAPUR, HRPGL</t>
        </is>
      </c>
      <c r="I2" t="inlineStr">
        <is>
          <t>PROCESS BAY : POT AREA WITH EXIT ECR LOT-3 / DETAIL OF COLUMN MKD AS -3C2</t>
        </is>
      </c>
      <c r="J2" t="inlineStr">
        <is>
          <t>IRCON 01.06.2026</t>
        </is>
      </c>
      <c r="K2" t="inlineStr">
        <is>
          <t>TML/NBT 01.06.2026</t>
        </is>
      </c>
      <c r="L2" t="inlineStr">
        <is>
          <t>SSA 01.06.2026</t>
        </is>
      </c>
      <c r="M2" t="inlineStr">
        <is>
          <t>3C2</t>
        </is>
      </c>
      <c r="N2" t="inlineStr">
        <is>
          <t>37a-39a/LA EL. +24.500</t>
        </is>
      </c>
      <c r="O2" t="inlineStr">
        <is>
          <t>TST-SFD-46-01-01-07-000-14281(UPDATED).pdf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item_no</t>
        </is>
      </c>
      <c r="B1" t="inlineStr">
        <is>
          <t>section</t>
        </is>
      </c>
      <c r="C1" t="inlineStr">
        <is>
          <t>length_mm</t>
        </is>
      </c>
      <c r="D1" t="inlineStr">
        <is>
          <t>qty</t>
        </is>
      </c>
      <c r="E1" t="inlineStr">
        <is>
          <t>pc_wt</t>
        </is>
      </c>
      <c r="F1" t="inlineStr">
        <is>
          <t>net_kg</t>
        </is>
      </c>
      <c r="G1" t="inlineStr">
        <is>
          <t>gross_kg</t>
        </is>
      </c>
      <c r="H1" t="inlineStr">
        <is>
          <t>material</t>
        </is>
      </c>
      <c r="I1" t="inlineStr">
        <is>
          <t>remarks</t>
        </is>
      </c>
      <c r="J1" t="inlineStr">
        <is>
          <t>surface_area_m2</t>
        </is>
      </c>
      <c r="K1" t="inlineStr">
        <is>
          <t>assembly_mark</t>
        </is>
      </c>
      <c r="L1" t="inlineStr">
        <is>
          <t>assembly_qty</t>
        </is>
      </c>
      <c r="M1" t="inlineStr">
        <is>
          <t>drawing_no</t>
        </is>
      </c>
    </row>
    <row r="2">
      <c r="A2" t="inlineStr">
        <is>
          <t>3C2</t>
        </is>
      </c>
      <c r="B2" t="inlineStr">
        <is>
          <t>WH1200X500X40X32</t>
        </is>
      </c>
      <c r="C2" t="n">
        <v>7989.5</v>
      </c>
      <c r="D2" t="n">
        <v>1</v>
      </c>
      <c r="E2" t="n">
        <v>4756.5</v>
      </c>
      <c r="F2" t="n">
        <v>4748.68</v>
      </c>
      <c r="G2" t="n">
        <v>4756.5</v>
      </c>
      <c r="H2" t="inlineStr">
        <is>
          <t>E350BR(UT)</t>
        </is>
      </c>
      <c r="I2" t="inlineStr"/>
      <c r="J2" t="n">
        <v>34.72</v>
      </c>
      <c r="K2" t="inlineStr">
        <is>
          <t>3C2</t>
        </is>
      </c>
      <c r="L2" t="n">
        <v>1</v>
      </c>
      <c r="M2" t="inlineStr">
        <is>
          <t>TST-SFD-46-01-01-07-000-14281</t>
        </is>
      </c>
    </row>
    <row r="3">
      <c r="A3" t="inlineStr">
        <is>
          <t>3m471</t>
        </is>
      </c>
      <c r="B3" t="inlineStr">
        <is>
          <t>WH1200X500X40X32</t>
        </is>
      </c>
      <c r="C3" t="n">
        <v>7589.5</v>
      </c>
      <c r="D3" t="n">
        <v>1</v>
      </c>
      <c r="E3" t="n">
        <v>4518.36</v>
      </c>
      <c r="F3" t="n">
        <v>4510.54</v>
      </c>
      <c r="G3" t="n">
        <v>4518.36</v>
      </c>
      <c r="H3" t="inlineStr">
        <is>
          <t>E350BR(UT)</t>
        </is>
      </c>
      <c r="I3" t="inlineStr"/>
      <c r="J3" t="n">
        <v>32.99</v>
      </c>
      <c r="K3" t="inlineStr">
        <is>
          <t>3C2</t>
        </is>
      </c>
      <c r="L3" t="n">
        <v>1</v>
      </c>
      <c r="M3" t="inlineStr">
        <is>
          <t>TST-SFD-46-01-01-07-000-14281</t>
        </is>
      </c>
    </row>
    <row r="4">
      <c r="A4" t="inlineStr">
        <is>
          <t>3m484</t>
        </is>
      </c>
      <c r="B4" t="inlineStr">
        <is>
          <t>ISA50X50X6</t>
        </is>
      </c>
      <c r="C4" t="n">
        <v>809</v>
      </c>
      <c r="D4" t="n">
        <v>7</v>
      </c>
      <c r="E4" t="n">
        <v>3.61</v>
      </c>
      <c r="F4" t="n">
        <v>25.25</v>
      </c>
      <c r="G4" t="n">
        <v>25.25</v>
      </c>
      <c r="H4" t="inlineStr">
        <is>
          <t>E250A</t>
        </is>
      </c>
      <c r="I4" t="inlineStr"/>
      <c r="J4" t="n">
        <v>0.16</v>
      </c>
      <c r="K4" t="inlineStr">
        <is>
          <t>3C2</t>
        </is>
      </c>
      <c r="L4" t="n">
        <v>1</v>
      </c>
      <c r="M4" t="inlineStr">
        <is>
          <t>TST-SFD-46-01-01-07-000-14281</t>
        </is>
      </c>
    </row>
    <row r="5">
      <c r="A5" t="inlineStr">
        <is>
          <t>3m496</t>
        </is>
      </c>
      <c r="B5" t="inlineStr">
        <is>
          <t>WH1200X500X40X32</t>
        </is>
      </c>
      <c r="C5" t="n">
        <v>6764.5</v>
      </c>
      <c r="D5" t="n">
        <v>1</v>
      </c>
      <c r="E5" t="n">
        <v>4027.2</v>
      </c>
      <c r="F5" t="n">
        <v>4019.38</v>
      </c>
      <c r="G5" t="n">
        <v>4027.2</v>
      </c>
      <c r="H5" t="inlineStr">
        <is>
          <t>E350BR(UT)</t>
        </is>
      </c>
      <c r="I5" t="inlineStr"/>
      <c r="J5" t="n">
        <v>29.41</v>
      </c>
      <c r="K5" t="inlineStr">
        <is>
          <t>3C2</t>
        </is>
      </c>
      <c r="L5" t="n">
        <v>1</v>
      </c>
      <c r="M5" t="inlineStr">
        <is>
          <t>TST-SFD-46-01-01-07-000-14281</t>
        </is>
      </c>
    </row>
    <row r="6">
      <c r="A6" t="inlineStr">
        <is>
          <t>3m497</t>
        </is>
      </c>
      <c r="B6" t="inlineStr">
        <is>
          <t>WH1200X500X40X32</t>
        </is>
      </c>
      <c r="C6" t="n">
        <v>7164.5</v>
      </c>
      <c r="D6" t="n">
        <v>1</v>
      </c>
      <c r="E6" t="n">
        <v>4265.34</v>
      </c>
      <c r="F6" t="n">
        <v>4257.52</v>
      </c>
      <c r="G6" t="n">
        <v>4265.34</v>
      </c>
      <c r="H6" t="inlineStr">
        <is>
          <t>E350BR(UT)</t>
        </is>
      </c>
      <c r="I6" t="inlineStr"/>
      <c r="J6" t="n">
        <v>31.14</v>
      </c>
      <c r="K6" t="inlineStr">
        <is>
          <t>3C2</t>
        </is>
      </c>
      <c r="L6" t="n">
        <v>1</v>
      </c>
      <c r="M6" t="inlineStr">
        <is>
          <t>TST-SFD-46-01-01-07-000-14281</t>
        </is>
      </c>
    </row>
    <row r="7">
      <c r="A7" t="inlineStr">
        <is>
          <t>3m503</t>
        </is>
      </c>
      <c r="B7" t="inlineStr">
        <is>
          <t>WH500X300X16X10</t>
        </is>
      </c>
      <c r="C7" t="n">
        <v>2468</v>
      </c>
      <c r="D7" t="n">
        <v>1</v>
      </c>
      <c r="E7" t="n">
        <v>276.66</v>
      </c>
      <c r="F7" t="n">
        <v>240.46</v>
      </c>
      <c r="G7" t="n">
        <v>276.66</v>
      </c>
      <c r="H7" t="inlineStr">
        <is>
          <t>E350A</t>
        </is>
      </c>
      <c r="I7" t="inlineStr"/>
      <c r="J7" t="n">
        <v>4.82</v>
      </c>
      <c r="K7" t="inlineStr">
        <is>
          <t>3C2</t>
        </is>
      </c>
      <c r="L7" t="n">
        <v>1</v>
      </c>
      <c r="M7" t="inlineStr">
        <is>
          <t>TST-SFD-46-01-01-07-000-14281</t>
        </is>
      </c>
    </row>
    <row r="8">
      <c r="A8" t="inlineStr">
        <is>
          <t>3m504</t>
        </is>
      </c>
      <c r="B8" t="inlineStr">
        <is>
          <t>WH400X500X20X10</t>
        </is>
      </c>
      <c r="C8" t="n">
        <v>2468</v>
      </c>
      <c r="D8" t="n">
        <v>4</v>
      </c>
      <c r="E8" t="n">
        <v>457.22</v>
      </c>
      <c r="F8" t="n">
        <v>1526.7</v>
      </c>
      <c r="G8" t="n">
        <v>1828.89</v>
      </c>
      <c r="H8" t="inlineStr">
        <is>
          <t>E350A</t>
        </is>
      </c>
      <c r="I8" t="inlineStr"/>
      <c r="J8" t="n">
        <v>5.92</v>
      </c>
      <c r="K8" t="inlineStr">
        <is>
          <t>3C2</t>
        </is>
      </c>
      <c r="L8" t="n">
        <v>1</v>
      </c>
      <c r="M8" t="inlineStr">
        <is>
          <t>TST-SFD-46-01-01-07-000-14281</t>
        </is>
      </c>
    </row>
    <row r="9">
      <c r="A9" t="inlineStr">
        <is>
          <t>3m505</t>
        </is>
      </c>
      <c r="B9" t="inlineStr">
        <is>
          <t>ISA200X200X20</t>
        </is>
      </c>
      <c r="C9" t="n">
        <v>1950</v>
      </c>
      <c r="D9" t="n">
        <v>4</v>
      </c>
      <c r="E9" t="n">
        <v>116.95</v>
      </c>
      <c r="F9" t="n">
        <v>467.8</v>
      </c>
      <c r="G9" t="n">
        <v>467.8</v>
      </c>
      <c r="H9" t="inlineStr">
        <is>
          <t>E250A</t>
        </is>
      </c>
      <c r="I9" t="inlineStr"/>
      <c r="J9" t="n">
        <v>1.53</v>
      </c>
      <c r="K9" t="inlineStr">
        <is>
          <t>3C2</t>
        </is>
      </c>
      <c r="L9" t="n">
        <v>1</v>
      </c>
      <c r="M9" t="inlineStr">
        <is>
          <t>TST-SFD-46-01-01-07-000-14281</t>
        </is>
      </c>
    </row>
    <row r="10">
      <c r="A10" t="inlineStr">
        <is>
          <t>3m506</t>
        </is>
      </c>
      <c r="B10" t="inlineStr">
        <is>
          <t>ISA200X200X20</t>
        </is>
      </c>
      <c r="C10" t="n">
        <v>2607.8</v>
      </c>
      <c r="D10" t="n">
        <v>2</v>
      </c>
      <c r="E10" t="n">
        <v>156.4</v>
      </c>
      <c r="F10" t="n">
        <v>312.8</v>
      </c>
      <c r="G10" t="n">
        <v>312.8</v>
      </c>
      <c r="H10" t="inlineStr">
        <is>
          <t>E250A</t>
        </is>
      </c>
      <c r="I10" t="inlineStr"/>
      <c r="J10" t="n">
        <v>2.05</v>
      </c>
      <c r="K10" t="inlineStr">
        <is>
          <t>3C2</t>
        </is>
      </c>
      <c r="L10" t="n">
        <v>1</v>
      </c>
      <c r="M10" t="inlineStr">
        <is>
          <t>TST-SFD-46-01-01-07-000-14281</t>
        </is>
      </c>
    </row>
    <row r="11">
      <c r="A11" t="inlineStr">
        <is>
          <t>3m507</t>
        </is>
      </c>
      <c r="B11" t="inlineStr">
        <is>
          <t>ISA200X200X20</t>
        </is>
      </c>
      <c r="C11" t="n">
        <v>2522.7</v>
      </c>
      <c r="D11" t="n">
        <v>2</v>
      </c>
      <c r="E11" t="n">
        <v>151.29</v>
      </c>
      <c r="F11" t="n">
        <v>302.59</v>
      </c>
      <c r="G11" t="n">
        <v>302.59</v>
      </c>
      <c r="H11" t="inlineStr">
        <is>
          <t>E250A</t>
        </is>
      </c>
      <c r="I11" t="inlineStr"/>
      <c r="J11" t="n">
        <v>1.98</v>
      </c>
      <c r="K11" t="inlineStr">
        <is>
          <t>3C2</t>
        </is>
      </c>
      <c r="L11" t="n">
        <v>1</v>
      </c>
      <c r="M11" t="inlineStr">
        <is>
          <t>TST-SFD-46-01-01-07-000-14281</t>
        </is>
      </c>
    </row>
    <row r="12">
      <c r="A12" t="inlineStr">
        <is>
          <t>3m517</t>
        </is>
      </c>
      <c r="B12" t="inlineStr">
        <is>
          <t>ISA75X75X8</t>
        </is>
      </c>
      <c r="C12" t="n">
        <v>1138</v>
      </c>
      <c r="D12" t="n">
        <v>12</v>
      </c>
      <c r="E12" t="n">
        <v>10.18</v>
      </c>
      <c r="F12" t="n">
        <v>122.2</v>
      </c>
      <c r="G12" t="n">
        <v>122.21</v>
      </c>
      <c r="H12" t="inlineStr">
        <is>
          <t>E250A</t>
        </is>
      </c>
      <c r="I12" t="inlineStr"/>
      <c r="J12" t="n">
        <v>0.33</v>
      </c>
      <c r="K12" t="inlineStr">
        <is>
          <t>3C2</t>
        </is>
      </c>
      <c r="L12" t="n">
        <v>1</v>
      </c>
      <c r="M12" t="inlineStr">
        <is>
          <t>TST-SFD-46-01-01-07-000-14281</t>
        </is>
      </c>
    </row>
    <row r="13">
      <c r="A13" t="inlineStr">
        <is>
          <t>3m518</t>
        </is>
      </c>
      <c r="B13" t="inlineStr">
        <is>
          <t>ISA75X75X8</t>
        </is>
      </c>
      <c r="C13" t="n">
        <v>1449.1</v>
      </c>
      <c r="D13" t="n">
        <v>2</v>
      </c>
      <c r="E13" t="n">
        <v>12.97</v>
      </c>
      <c r="F13" t="n">
        <v>24.65</v>
      </c>
      <c r="G13" t="n">
        <v>25.94</v>
      </c>
      <c r="H13" t="inlineStr">
        <is>
          <t>E250A</t>
        </is>
      </c>
      <c r="I13" t="inlineStr"/>
      <c r="J13" t="n">
        <v>0.42</v>
      </c>
      <c r="K13" t="inlineStr">
        <is>
          <t>3C2</t>
        </is>
      </c>
      <c r="L13" t="n">
        <v>1</v>
      </c>
      <c r="M13" t="inlineStr">
        <is>
          <t>TST-SFD-46-01-01-07-000-14281</t>
        </is>
      </c>
    </row>
    <row r="14">
      <c r="A14" t="inlineStr">
        <is>
          <t>3m519</t>
        </is>
      </c>
      <c r="B14" t="inlineStr">
        <is>
          <t>ISA75X75X8</t>
        </is>
      </c>
      <c r="C14" t="n">
        <v>1449.1</v>
      </c>
      <c r="D14" t="n">
        <v>2</v>
      </c>
      <c r="E14" t="n">
        <v>12.97</v>
      </c>
      <c r="F14" t="n">
        <v>24.65</v>
      </c>
      <c r="G14" t="n">
        <v>25.94</v>
      </c>
      <c r="H14" t="inlineStr">
        <is>
          <t>E250A</t>
        </is>
      </c>
      <c r="I14" t="inlineStr"/>
      <c r="J14" t="n">
        <v>0.42</v>
      </c>
      <c r="K14" t="inlineStr">
        <is>
          <t>3C2</t>
        </is>
      </c>
      <c r="L14" t="n">
        <v>1</v>
      </c>
      <c r="M14" t="inlineStr">
        <is>
          <t>TST-SFD-46-01-01-07-000-14281</t>
        </is>
      </c>
    </row>
    <row r="15">
      <c r="A15" t="inlineStr">
        <is>
          <t>3m520</t>
        </is>
      </c>
      <c r="B15" t="inlineStr">
        <is>
          <t>ISA75X75X8</t>
        </is>
      </c>
      <c r="C15" t="n">
        <v>1319.2</v>
      </c>
      <c r="D15" t="n">
        <v>2</v>
      </c>
      <c r="E15" t="n">
        <v>11.81</v>
      </c>
      <c r="F15" t="n">
        <v>22.68</v>
      </c>
      <c r="G15" t="n">
        <v>23.61</v>
      </c>
      <c r="H15" t="inlineStr">
        <is>
          <t>E250A</t>
        </is>
      </c>
      <c r="I15" t="inlineStr"/>
      <c r="J15" t="n">
        <v>0.39</v>
      </c>
      <c r="K15" t="inlineStr">
        <is>
          <t>3C2</t>
        </is>
      </c>
      <c r="L15" t="n">
        <v>1</v>
      </c>
      <c r="M15" t="inlineStr">
        <is>
          <t>TST-SFD-46-01-01-07-000-14281</t>
        </is>
      </c>
    </row>
    <row r="16">
      <c r="A16" t="inlineStr">
        <is>
          <t>3m521</t>
        </is>
      </c>
      <c r="B16" t="inlineStr">
        <is>
          <t>ISA75X75X8</t>
        </is>
      </c>
      <c r="C16" t="n">
        <v>1319.2</v>
      </c>
      <c r="D16" t="n">
        <v>2</v>
      </c>
      <c r="E16" t="n">
        <v>11.81</v>
      </c>
      <c r="F16" t="n">
        <v>22.68</v>
      </c>
      <c r="G16" t="n">
        <v>23.61</v>
      </c>
      <c r="H16" t="inlineStr">
        <is>
          <t>E250A</t>
        </is>
      </c>
      <c r="I16" t="inlineStr"/>
      <c r="J16" t="n">
        <v>0.39</v>
      </c>
      <c r="K16" t="inlineStr">
        <is>
          <t>3C2</t>
        </is>
      </c>
      <c r="L16" t="n">
        <v>1</v>
      </c>
      <c r="M16" t="inlineStr">
        <is>
          <t>TST-SFD-46-01-01-07-000-14281</t>
        </is>
      </c>
    </row>
    <row r="17">
      <c r="A17" t="inlineStr">
        <is>
          <t>3m766</t>
        </is>
      </c>
      <c r="B17" t="inlineStr">
        <is>
          <t>ISMC150</t>
        </is>
      </c>
      <c r="C17" t="n">
        <v>1379.9</v>
      </c>
      <c r="D17" t="n">
        <v>7</v>
      </c>
      <c r="E17" t="n">
        <v>23.07</v>
      </c>
      <c r="F17" t="n">
        <v>161.51</v>
      </c>
      <c r="G17" t="n">
        <v>161.51</v>
      </c>
      <c r="H17" t="inlineStr">
        <is>
          <t>E250A</t>
        </is>
      </c>
      <c r="I17" t="inlineStr"/>
      <c r="J17" t="n">
        <v>0.78</v>
      </c>
      <c r="K17" t="inlineStr">
        <is>
          <t>3C2</t>
        </is>
      </c>
      <c r="L17" t="n">
        <v>1</v>
      </c>
      <c r="M17" t="inlineStr">
        <is>
          <t>TST-SFD-46-01-01-07-000-14281</t>
        </is>
      </c>
    </row>
    <row r="18">
      <c r="A18" t="inlineStr">
        <is>
          <t>3m767</t>
        </is>
      </c>
      <c r="B18" t="inlineStr">
        <is>
          <t>ISMC150</t>
        </is>
      </c>
      <c r="C18" t="n">
        <v>1379.9</v>
      </c>
      <c r="D18" t="n">
        <v>1</v>
      </c>
      <c r="E18" t="n">
        <v>23.07</v>
      </c>
      <c r="F18" t="n">
        <v>23.07</v>
      </c>
      <c r="G18" t="n">
        <v>23.07</v>
      </c>
      <c r="H18" t="inlineStr">
        <is>
          <t>E250A</t>
        </is>
      </c>
      <c r="I18" t="inlineStr"/>
      <c r="J18" t="n">
        <v>0.78</v>
      </c>
      <c r="K18" t="inlineStr">
        <is>
          <t>3C2</t>
        </is>
      </c>
      <c r="L18" t="n">
        <v>1</v>
      </c>
      <c r="M18" t="inlineStr">
        <is>
          <t>TST-SFD-46-01-01-07-000-14281</t>
        </is>
      </c>
    </row>
    <row r="19">
      <c r="A19" t="inlineStr">
        <is>
          <t>3p32</t>
        </is>
      </c>
      <c r="B19" t="inlineStr">
        <is>
          <t>PL10*287</t>
        </is>
      </c>
      <c r="C19" t="n">
        <v>447.8</v>
      </c>
      <c r="D19" t="n">
        <v>2</v>
      </c>
      <c r="E19" t="n">
        <v>10.08</v>
      </c>
      <c r="F19" t="n">
        <v>17.36</v>
      </c>
      <c r="G19" t="n">
        <v>20.17</v>
      </c>
      <c r="H19" t="inlineStr">
        <is>
          <t>E350A</t>
        </is>
      </c>
      <c r="I19" t="inlineStr"/>
      <c r="J19" t="n">
        <v>0.23</v>
      </c>
      <c r="K19" t="inlineStr">
        <is>
          <t>3C2</t>
        </is>
      </c>
      <c r="L19" t="n">
        <v>1</v>
      </c>
      <c r="M19" t="inlineStr">
        <is>
          <t>TST-SFD-46-01-01-07-000-14281</t>
        </is>
      </c>
    </row>
    <row r="20">
      <c r="A20" t="inlineStr">
        <is>
          <t>3p33</t>
        </is>
      </c>
      <c r="B20" t="inlineStr">
        <is>
          <t>PL20*200</t>
        </is>
      </c>
      <c r="C20" t="n">
        <v>561</v>
      </c>
      <c r="D20" t="n">
        <v>2</v>
      </c>
      <c r="E20" t="n">
        <v>17.62</v>
      </c>
      <c r="F20" t="n">
        <v>35.23</v>
      </c>
      <c r="G20" t="n">
        <v>35.23</v>
      </c>
      <c r="H20" t="inlineStr">
        <is>
          <t>E350A</t>
        </is>
      </c>
      <c r="I20" t="inlineStr"/>
      <c r="J20" t="n">
        <v>0.25</v>
      </c>
      <c r="K20" t="inlineStr">
        <is>
          <t>3C2</t>
        </is>
      </c>
      <c r="L20" t="n">
        <v>1</v>
      </c>
      <c r="M20" t="inlineStr">
        <is>
          <t>TST-SFD-46-01-01-07-000-14281</t>
        </is>
      </c>
    </row>
    <row r="21">
      <c r="A21" t="inlineStr">
        <is>
          <t>3p34</t>
        </is>
      </c>
      <c r="B21" t="inlineStr">
        <is>
          <t>PL20*200</t>
        </is>
      </c>
      <c r="C21" t="n">
        <v>379</v>
      </c>
      <c r="D21" t="n">
        <v>2</v>
      </c>
      <c r="E21" t="n">
        <v>11.9</v>
      </c>
      <c r="F21" t="n">
        <v>23.8</v>
      </c>
      <c r="G21" t="n">
        <v>23.8</v>
      </c>
      <c r="H21" t="inlineStr">
        <is>
          <t>E350A</t>
        </is>
      </c>
      <c r="I21" t="inlineStr"/>
      <c r="J21" t="n">
        <v>0.17</v>
      </c>
      <c r="K21" t="inlineStr">
        <is>
          <t>3C2</t>
        </is>
      </c>
      <c r="L21" t="n">
        <v>1</v>
      </c>
      <c r="M21" t="inlineStr">
        <is>
          <t>TST-SFD-46-01-01-07-000-14281</t>
        </is>
      </c>
    </row>
    <row r="22">
      <c r="A22" t="inlineStr">
        <is>
          <t>3p36</t>
        </is>
      </c>
      <c r="B22" t="inlineStr">
        <is>
          <t>PL20*200</t>
        </is>
      </c>
      <c r="C22" t="n">
        <v>390</v>
      </c>
      <c r="D22" t="n">
        <v>2</v>
      </c>
      <c r="E22" t="n">
        <v>12.25</v>
      </c>
      <c r="F22" t="n">
        <v>24.49</v>
      </c>
      <c r="G22" t="n">
        <v>24.49</v>
      </c>
      <c r="H22" t="inlineStr">
        <is>
          <t>E350A</t>
        </is>
      </c>
      <c r="I22" t="inlineStr"/>
      <c r="J22" t="n">
        <v>0.18</v>
      </c>
      <c r="K22" t="inlineStr">
        <is>
          <t>3C2</t>
        </is>
      </c>
      <c r="L22" t="n">
        <v>1</v>
      </c>
      <c r="M22" t="inlineStr">
        <is>
          <t>TST-SFD-46-01-01-07-000-14281</t>
        </is>
      </c>
    </row>
    <row r="23">
      <c r="A23" t="inlineStr">
        <is>
          <t>3p37</t>
        </is>
      </c>
      <c r="B23" t="inlineStr">
        <is>
          <t>PL10*379</t>
        </is>
      </c>
      <c r="C23" t="n">
        <v>380</v>
      </c>
      <c r="D23" t="n">
        <v>2</v>
      </c>
      <c r="E23" t="n">
        <v>11.31</v>
      </c>
      <c r="F23" t="n">
        <v>22.49</v>
      </c>
      <c r="G23" t="n">
        <v>22.61</v>
      </c>
      <c r="H23" t="inlineStr">
        <is>
          <t>E350A</t>
        </is>
      </c>
      <c r="I23" t="inlineStr"/>
      <c r="J23" t="n">
        <v>0.3</v>
      </c>
      <c r="K23" t="inlineStr">
        <is>
          <t>3C2</t>
        </is>
      </c>
      <c r="L23" t="n">
        <v>1</v>
      </c>
      <c r="M23" t="inlineStr">
        <is>
          <t>TST-SFD-46-01-01-07-000-14281</t>
        </is>
      </c>
    </row>
    <row r="24">
      <c r="A24" t="inlineStr">
        <is>
          <t>3p51</t>
        </is>
      </c>
      <c r="B24" t="inlineStr">
        <is>
          <t>PL25*200</t>
        </is>
      </c>
      <c r="C24" t="n">
        <v>359</v>
      </c>
      <c r="D24" t="n">
        <v>2</v>
      </c>
      <c r="E24" t="n">
        <v>14.09</v>
      </c>
      <c r="F24" t="n">
        <v>28.18</v>
      </c>
      <c r="G24" t="n">
        <v>28.18</v>
      </c>
      <c r="H24" t="inlineStr">
        <is>
          <t>E350BR</t>
        </is>
      </c>
      <c r="I24" t="inlineStr"/>
      <c r="J24" t="n">
        <v>0.17</v>
      </c>
      <c r="K24" t="inlineStr">
        <is>
          <t>3C2</t>
        </is>
      </c>
      <c r="L24" t="n">
        <v>1</v>
      </c>
      <c r="M24" t="inlineStr">
        <is>
          <t>TST-SFD-46-01-01-07-000-14281</t>
        </is>
      </c>
    </row>
    <row r="25">
      <c r="A25" t="inlineStr">
        <is>
          <t>3p283</t>
        </is>
      </c>
      <c r="B25" t="inlineStr">
        <is>
          <t>PL16*646</t>
        </is>
      </c>
      <c r="C25" t="n">
        <v>1687.3</v>
      </c>
      <c r="D25" t="n">
        <v>2</v>
      </c>
      <c r="E25" t="n">
        <v>137</v>
      </c>
      <c r="F25" t="n">
        <v>234.11</v>
      </c>
      <c r="G25" t="n">
        <v>274</v>
      </c>
      <c r="H25" t="inlineStr">
        <is>
          <t>E350A</t>
        </is>
      </c>
      <c r="I25" t="inlineStr"/>
      <c r="J25" t="n">
        <v>1.93</v>
      </c>
      <c r="K25" t="inlineStr">
        <is>
          <t>3C2</t>
        </is>
      </c>
      <c r="L25" t="n">
        <v>1</v>
      </c>
      <c r="M25" t="inlineStr">
        <is>
          <t>TST-SFD-46-01-01-07-000-14281</t>
        </is>
      </c>
    </row>
    <row r="26">
      <c r="A26" t="inlineStr">
        <is>
          <t>3p295</t>
        </is>
      </c>
      <c r="B26" t="inlineStr">
        <is>
          <t>PL32*500</t>
        </is>
      </c>
      <c r="C26" t="n">
        <v>1200</v>
      </c>
      <c r="D26" t="n">
        <v>4</v>
      </c>
      <c r="E26" t="n">
        <v>150.72</v>
      </c>
      <c r="F26" t="n">
        <v>602.88</v>
      </c>
      <c r="G26" t="n">
        <v>602.88</v>
      </c>
      <c r="H26" t="inlineStr">
        <is>
          <t>E350BR</t>
        </is>
      </c>
      <c r="I26" t="inlineStr"/>
      <c r="J26" t="n">
        <v>1.31</v>
      </c>
      <c r="K26" t="inlineStr">
        <is>
          <t>3C2</t>
        </is>
      </c>
      <c r="L26" t="n">
        <v>1</v>
      </c>
      <c r="M26" t="inlineStr">
        <is>
          <t>TST-SFD-46-01-01-07-000-14281</t>
        </is>
      </c>
    </row>
    <row r="27">
      <c r="A27" t="inlineStr">
        <is>
          <t>3p307</t>
        </is>
      </c>
      <c r="B27" t="inlineStr">
        <is>
          <t>PL14*234</t>
        </is>
      </c>
      <c r="C27" t="n">
        <v>1120</v>
      </c>
      <c r="D27" t="n">
        <v>20</v>
      </c>
      <c r="E27" t="n">
        <v>28.8</v>
      </c>
      <c r="F27" t="n">
        <v>575.17</v>
      </c>
      <c r="G27" t="n">
        <v>576.05</v>
      </c>
      <c r="H27" t="inlineStr">
        <is>
          <t>E350A</t>
        </is>
      </c>
      <c r="I27" t="inlineStr"/>
      <c r="J27" t="n">
        <v>0.5600000000000001</v>
      </c>
      <c r="K27" t="inlineStr">
        <is>
          <t>3C2</t>
        </is>
      </c>
      <c r="L27" t="n">
        <v>1</v>
      </c>
      <c r="M27" t="inlineStr">
        <is>
          <t>TST-SFD-46-01-01-07-000-14281</t>
        </is>
      </c>
    </row>
    <row r="28">
      <c r="A28" t="inlineStr">
        <is>
          <t>3p308</t>
        </is>
      </c>
      <c r="B28" t="inlineStr">
        <is>
          <t>PL16*234</t>
        </is>
      </c>
      <c r="C28" t="n">
        <v>1116</v>
      </c>
      <c r="D28" t="n">
        <v>4</v>
      </c>
      <c r="E28" t="n">
        <v>32.8</v>
      </c>
      <c r="F28" t="n">
        <v>130.36</v>
      </c>
      <c r="G28" t="n">
        <v>131.2</v>
      </c>
      <c r="H28" t="inlineStr">
        <is>
          <t>E350A</t>
        </is>
      </c>
      <c r="I28" t="inlineStr"/>
      <c r="J28" t="n">
        <v>0.5600000000000001</v>
      </c>
      <c r="K28" t="inlineStr">
        <is>
          <t>3C2</t>
        </is>
      </c>
      <c r="L28" t="n">
        <v>1</v>
      </c>
      <c r="M28" t="inlineStr">
        <is>
          <t>TST-SFD-46-01-01-07-000-14281</t>
        </is>
      </c>
    </row>
    <row r="29">
      <c r="A29" t="inlineStr">
        <is>
          <t>3p309</t>
        </is>
      </c>
      <c r="B29" t="inlineStr">
        <is>
          <t>PL20*234</t>
        </is>
      </c>
      <c r="C29" t="n">
        <v>1116</v>
      </c>
      <c r="D29" t="n">
        <v>16</v>
      </c>
      <c r="E29" t="n">
        <v>41</v>
      </c>
      <c r="F29" t="n">
        <v>650.72</v>
      </c>
      <c r="G29" t="n">
        <v>655.99</v>
      </c>
      <c r="H29" t="inlineStr">
        <is>
          <t>E350A</t>
        </is>
      </c>
      <c r="I29" t="inlineStr"/>
      <c r="J29" t="n">
        <v>0.57</v>
      </c>
      <c r="K29" t="inlineStr">
        <is>
          <t>3C2</t>
        </is>
      </c>
      <c r="L29" t="n">
        <v>1</v>
      </c>
      <c r="M29" t="inlineStr">
        <is>
          <t>TST-SFD-46-01-01-07-000-14281</t>
        </is>
      </c>
    </row>
    <row r="30">
      <c r="A30" t="inlineStr">
        <is>
          <t>3p319</t>
        </is>
      </c>
      <c r="B30" t="inlineStr">
        <is>
          <t>PL25*650</t>
        </is>
      </c>
      <c r="C30" t="n">
        <v>737.8</v>
      </c>
      <c r="D30" t="n">
        <v>2</v>
      </c>
      <c r="E30" t="n">
        <v>94.06</v>
      </c>
      <c r="F30" t="n">
        <v>140.75</v>
      </c>
      <c r="G30" t="n">
        <v>188.13</v>
      </c>
      <c r="H30" t="inlineStr">
        <is>
          <t>E350BR</t>
        </is>
      </c>
      <c r="I30" t="inlineStr"/>
      <c r="J30" t="n">
        <v>0.77</v>
      </c>
      <c r="K30" t="inlineStr">
        <is>
          <t>3C2</t>
        </is>
      </c>
      <c r="L30" t="n">
        <v>1</v>
      </c>
      <c r="M30" t="inlineStr">
        <is>
          <t>TST-SFD-46-01-01-07-000-14281</t>
        </is>
      </c>
    </row>
    <row r="31">
      <c r="A31" t="inlineStr">
        <is>
          <t>3p332</t>
        </is>
      </c>
      <c r="B31" t="inlineStr">
        <is>
          <t>PL16*473</t>
        </is>
      </c>
      <c r="C31" t="n">
        <v>474.3</v>
      </c>
      <c r="D31" t="n">
        <v>4</v>
      </c>
      <c r="E31" t="n">
        <v>28.18</v>
      </c>
      <c r="F31" t="n">
        <v>92.14</v>
      </c>
      <c r="G31" t="n">
        <v>112.7</v>
      </c>
      <c r="H31" t="inlineStr">
        <is>
          <t>E350A</t>
        </is>
      </c>
      <c r="I31" t="inlineStr"/>
      <c r="J31" t="n">
        <v>0.39</v>
      </c>
      <c r="K31" t="inlineStr">
        <is>
          <t>3C2</t>
        </is>
      </c>
      <c r="L31" t="n">
        <v>1</v>
      </c>
      <c r="M31" t="inlineStr">
        <is>
          <t>TST-SFD-46-01-01-07-000-14281</t>
        </is>
      </c>
    </row>
    <row r="32">
      <c r="A32" t="inlineStr">
        <is>
          <t>3p333</t>
        </is>
      </c>
      <c r="B32" t="inlineStr">
        <is>
          <t>PL16*496</t>
        </is>
      </c>
      <c r="C32" t="n">
        <v>1498.4</v>
      </c>
      <c r="D32" t="n">
        <v>2</v>
      </c>
      <c r="E32" t="n">
        <v>93.29000000000001</v>
      </c>
      <c r="F32" t="n">
        <v>178.54</v>
      </c>
      <c r="G32" t="n">
        <v>186.58</v>
      </c>
      <c r="H32" t="inlineStr">
        <is>
          <t>E350A</t>
        </is>
      </c>
      <c r="I32" t="inlineStr"/>
      <c r="J32" t="n">
        <v>1.48</v>
      </c>
      <c r="K32" t="inlineStr">
        <is>
          <t>3C2</t>
        </is>
      </c>
      <c r="L32" t="n">
        <v>1</v>
      </c>
      <c r="M32" t="inlineStr">
        <is>
          <t>TST-SFD-46-01-01-07-000-14281</t>
        </is>
      </c>
    </row>
    <row r="33">
      <c r="A33" t="inlineStr">
        <is>
          <t>3p334</t>
        </is>
      </c>
      <c r="B33" t="inlineStr">
        <is>
          <t>PL16*490</t>
        </is>
      </c>
      <c r="C33" t="n">
        <v>671.6</v>
      </c>
      <c r="D33" t="n">
        <v>2</v>
      </c>
      <c r="E33" t="n">
        <v>41.31</v>
      </c>
      <c r="F33" t="n">
        <v>61.62</v>
      </c>
      <c r="G33" t="n">
        <v>82.62</v>
      </c>
      <c r="H33" t="inlineStr">
        <is>
          <t>E350A</t>
        </is>
      </c>
      <c r="I33" t="inlineStr"/>
      <c r="J33" t="n">
        <v>0.52</v>
      </c>
      <c r="K33" t="inlineStr">
        <is>
          <t>3C2</t>
        </is>
      </c>
      <c r="L33" t="n">
        <v>1</v>
      </c>
      <c r="M33" t="inlineStr">
        <is>
          <t>TST-SFD-46-01-01-07-000-14281</t>
        </is>
      </c>
    </row>
    <row r="34">
      <c r="A34" t="inlineStr">
        <is>
          <t>3p436</t>
        </is>
      </c>
      <c r="B34" t="inlineStr">
        <is>
          <t>PL20*230</t>
        </is>
      </c>
      <c r="C34" t="n">
        <v>447</v>
      </c>
      <c r="D34" t="n">
        <v>2</v>
      </c>
      <c r="E34" t="n">
        <v>16.14</v>
      </c>
      <c r="F34" t="n">
        <v>32.28</v>
      </c>
      <c r="G34" t="n">
        <v>32.28</v>
      </c>
      <c r="H34" t="inlineStr">
        <is>
          <t>E350A</t>
        </is>
      </c>
      <c r="I34" t="inlineStr"/>
      <c r="J34" t="n">
        <v>0.23</v>
      </c>
      <c r="K34" t="inlineStr">
        <is>
          <t>3C2</t>
        </is>
      </c>
      <c r="L34" t="n">
        <v>1</v>
      </c>
      <c r="M34" t="inlineStr">
        <is>
          <t>TST-SFD-46-01-01-07-000-14281</t>
        </is>
      </c>
    </row>
    <row r="35">
      <c r="A35" t="inlineStr">
        <is>
          <t>3p437</t>
        </is>
      </c>
      <c r="B35" t="inlineStr">
        <is>
          <t>PL12*225</t>
        </is>
      </c>
      <c r="C35" t="n">
        <v>447</v>
      </c>
      <c r="D35" t="n">
        <v>2</v>
      </c>
      <c r="E35" t="n">
        <v>9.470000000000001</v>
      </c>
      <c r="F35" t="n">
        <v>15.41</v>
      </c>
      <c r="G35" t="n">
        <v>18.95</v>
      </c>
      <c r="H35" t="inlineStr">
        <is>
          <t>E350A</t>
        </is>
      </c>
      <c r="I35" t="inlineStr"/>
      <c r="J35" t="n">
        <v>0.18</v>
      </c>
      <c r="K35" t="inlineStr">
        <is>
          <t>3C2</t>
        </is>
      </c>
      <c r="L35" t="n">
        <v>1</v>
      </c>
      <c r="M35" t="inlineStr">
        <is>
          <t>TST-SFD-46-01-01-07-000-14281</t>
        </is>
      </c>
    </row>
    <row r="36">
      <c r="A36" t="inlineStr">
        <is>
          <t>3p438</t>
        </is>
      </c>
      <c r="B36" t="inlineStr">
        <is>
          <t>PL20*200</t>
        </is>
      </c>
      <c r="C36" t="n">
        <v>255</v>
      </c>
      <c r="D36" t="n">
        <v>2</v>
      </c>
      <c r="E36" t="n">
        <v>8.01</v>
      </c>
      <c r="F36" t="n">
        <v>16.01</v>
      </c>
      <c r="G36" t="n">
        <v>16.01</v>
      </c>
      <c r="H36" t="inlineStr">
        <is>
          <t>E350A</t>
        </is>
      </c>
      <c r="I36" t="inlineStr"/>
      <c r="J36" t="n">
        <v>0.12</v>
      </c>
      <c r="K36" t="inlineStr">
        <is>
          <t>3C2</t>
        </is>
      </c>
      <c r="L36" t="n">
        <v>1</v>
      </c>
      <c r="M36" t="inlineStr">
        <is>
          <t>TST-SFD-46-01-01-07-000-14281</t>
        </is>
      </c>
    </row>
    <row r="37">
      <c r="A37" t="inlineStr">
        <is>
          <t>3p439</t>
        </is>
      </c>
      <c r="B37" t="inlineStr">
        <is>
          <t>PL10*255</t>
        </is>
      </c>
      <c r="C37" t="n">
        <v>480</v>
      </c>
      <c r="D37" t="n">
        <v>2</v>
      </c>
      <c r="E37" t="n">
        <v>9.609999999999999</v>
      </c>
      <c r="F37" t="n">
        <v>19.02</v>
      </c>
      <c r="G37" t="n">
        <v>19.22</v>
      </c>
      <c r="H37" t="inlineStr">
        <is>
          <t>E350A</t>
        </is>
      </c>
      <c r="I37" t="inlineStr"/>
      <c r="J37" t="n">
        <v>0.26</v>
      </c>
      <c r="K37" t="inlineStr">
        <is>
          <t>3C2</t>
        </is>
      </c>
      <c r="L37" t="n">
        <v>1</v>
      </c>
      <c r="M37" t="inlineStr">
        <is>
          <t>TST-SFD-46-01-01-07-000-14281</t>
        </is>
      </c>
    </row>
    <row r="38">
      <c r="A38" t="inlineStr">
        <is>
          <t>3p440</t>
        </is>
      </c>
      <c r="B38" t="inlineStr">
        <is>
          <t>PL20*200</t>
        </is>
      </c>
      <c r="C38" t="n">
        <v>488</v>
      </c>
      <c r="D38" t="n">
        <v>1</v>
      </c>
      <c r="E38" t="n">
        <v>15.32</v>
      </c>
      <c r="F38" t="n">
        <v>15.32</v>
      </c>
      <c r="G38" t="n">
        <v>15.32</v>
      </c>
      <c r="H38" t="inlineStr">
        <is>
          <t>E350A</t>
        </is>
      </c>
      <c r="I38" t="inlineStr"/>
      <c r="J38" t="n">
        <v>0.22</v>
      </c>
      <c r="K38" t="inlineStr">
        <is>
          <t>3C2</t>
        </is>
      </c>
      <c r="L38" t="n">
        <v>1</v>
      </c>
      <c r="M38" t="inlineStr">
        <is>
          <t>TST-SFD-46-01-01-07-000-14281</t>
        </is>
      </c>
    </row>
    <row r="39">
      <c r="A39" t="inlineStr">
        <is>
          <t>3p441</t>
        </is>
      </c>
      <c r="B39" t="inlineStr">
        <is>
          <t>PL20*200</t>
        </is>
      </c>
      <c r="C39" t="n">
        <v>488</v>
      </c>
      <c r="D39" t="n">
        <v>1</v>
      </c>
      <c r="E39" t="n">
        <v>15.32</v>
      </c>
      <c r="F39" t="n">
        <v>15.32</v>
      </c>
      <c r="G39" t="n">
        <v>15.32</v>
      </c>
      <c r="H39" t="inlineStr">
        <is>
          <t>E350A</t>
        </is>
      </c>
      <c r="I39" t="inlineStr"/>
      <c r="J39" t="n">
        <v>0.22</v>
      </c>
      <c r="K39" t="inlineStr">
        <is>
          <t>3C2</t>
        </is>
      </c>
      <c r="L39" t="n">
        <v>1</v>
      </c>
      <c r="M39" t="inlineStr">
        <is>
          <t>TST-SFD-46-01-01-07-000-14281</t>
        </is>
      </c>
    </row>
    <row r="40">
      <c r="A40" t="inlineStr">
        <is>
          <t>3p463</t>
        </is>
      </c>
      <c r="B40" t="inlineStr">
        <is>
          <t>PL10*200</t>
        </is>
      </c>
      <c r="C40" t="n">
        <v>471</v>
      </c>
      <c r="D40" t="n">
        <v>2</v>
      </c>
      <c r="E40" t="n">
        <v>7.39</v>
      </c>
      <c r="F40" t="n">
        <v>12.24</v>
      </c>
      <c r="G40" t="n">
        <v>14.79</v>
      </c>
      <c r="H40" t="inlineStr">
        <is>
          <t>E350A</t>
        </is>
      </c>
      <c r="I40" t="inlineStr"/>
      <c r="J40" t="n">
        <v>0.17</v>
      </c>
      <c r="K40" t="inlineStr">
        <is>
          <t>3C2</t>
        </is>
      </c>
      <c r="L40" t="n">
        <v>1</v>
      </c>
      <c r="M40" t="inlineStr">
        <is>
          <t>TST-SFD-46-01-01-07-000-14281</t>
        </is>
      </c>
    </row>
    <row r="41">
      <c r="A41" t="inlineStr">
        <is>
          <t>3p464</t>
        </is>
      </c>
      <c r="B41" t="inlineStr">
        <is>
          <t>PL25*250</t>
        </is>
      </c>
      <c r="C41" t="n">
        <v>259</v>
      </c>
      <c r="D41" t="n">
        <v>2</v>
      </c>
      <c r="E41" t="n">
        <v>12.71</v>
      </c>
      <c r="F41" t="n">
        <v>25.41</v>
      </c>
      <c r="G41" t="n">
        <v>25.41</v>
      </c>
      <c r="H41" t="inlineStr">
        <is>
          <t>E350BR</t>
        </is>
      </c>
      <c r="I41" t="inlineStr"/>
      <c r="J41" t="n">
        <v>0.15</v>
      </c>
      <c r="K41" t="inlineStr">
        <is>
          <t>3C2</t>
        </is>
      </c>
      <c r="L41" t="n">
        <v>1</v>
      </c>
      <c r="M41" t="inlineStr">
        <is>
          <t>TST-SFD-46-01-01-07-000-14281</t>
        </is>
      </c>
    </row>
    <row r="42">
      <c r="A42" t="inlineStr">
        <is>
          <t>3p465</t>
        </is>
      </c>
      <c r="B42" t="inlineStr">
        <is>
          <t>PL16*259</t>
        </is>
      </c>
      <c r="C42" t="n">
        <v>375</v>
      </c>
      <c r="D42" t="n">
        <v>2</v>
      </c>
      <c r="E42" t="n">
        <v>12.2</v>
      </c>
      <c r="F42" t="n">
        <v>24.08</v>
      </c>
      <c r="G42" t="n">
        <v>24.4</v>
      </c>
      <c r="H42" t="inlineStr">
        <is>
          <t>E350A</t>
        </is>
      </c>
      <c r="I42" t="inlineStr"/>
      <c r="J42" t="n">
        <v>0.21</v>
      </c>
      <c r="K42" t="inlineStr">
        <is>
          <t>3C2</t>
        </is>
      </c>
      <c r="L42" t="n">
        <v>1</v>
      </c>
      <c r="M42" t="inlineStr">
        <is>
          <t>TST-SFD-46-01-01-07-000-14281</t>
        </is>
      </c>
    </row>
    <row r="43">
      <c r="A43" t="inlineStr">
        <is>
          <t>3p467</t>
        </is>
      </c>
      <c r="B43" t="inlineStr">
        <is>
          <t>PL25*250</t>
        </is>
      </c>
      <c r="C43" t="n">
        <v>385</v>
      </c>
      <c r="D43" t="n">
        <v>1</v>
      </c>
      <c r="E43" t="n">
        <v>18.89</v>
      </c>
      <c r="F43" t="n">
        <v>18.89</v>
      </c>
      <c r="G43" t="n">
        <v>18.89</v>
      </c>
      <c r="H43" t="inlineStr">
        <is>
          <t>E350BR</t>
        </is>
      </c>
      <c r="I43" t="inlineStr"/>
      <c r="J43" t="n">
        <v>0.22</v>
      </c>
      <c r="K43" t="inlineStr">
        <is>
          <t>3C2</t>
        </is>
      </c>
      <c r="L43" t="n">
        <v>1</v>
      </c>
      <c r="M43" t="inlineStr">
        <is>
          <t>TST-SFD-46-01-01-07-000-14281</t>
        </is>
      </c>
    </row>
    <row r="44">
      <c r="A44" t="inlineStr">
        <is>
          <t>3p469</t>
        </is>
      </c>
      <c r="B44" t="inlineStr">
        <is>
          <t>PL25*280</t>
        </is>
      </c>
      <c r="C44" t="n">
        <v>471</v>
      </c>
      <c r="D44" t="n">
        <v>2</v>
      </c>
      <c r="E44" t="n">
        <v>25.88</v>
      </c>
      <c r="F44" t="n">
        <v>51.76</v>
      </c>
      <c r="G44" t="n">
        <v>51.76</v>
      </c>
      <c r="H44" t="inlineStr">
        <is>
          <t>E350BR</t>
        </is>
      </c>
      <c r="I44" t="inlineStr"/>
      <c r="J44" t="n">
        <v>0.3</v>
      </c>
      <c r="K44" t="inlineStr">
        <is>
          <t>3C2</t>
        </is>
      </c>
      <c r="L44" t="n">
        <v>1</v>
      </c>
      <c r="M44" t="inlineStr">
        <is>
          <t>TST-SFD-46-01-01-07-000-14281</t>
        </is>
      </c>
    </row>
    <row r="45">
      <c r="A45" t="inlineStr">
        <is>
          <t>3p471</t>
        </is>
      </c>
      <c r="B45" t="inlineStr">
        <is>
          <t>PL25*250</t>
        </is>
      </c>
      <c r="C45" t="n">
        <v>385</v>
      </c>
      <c r="D45" t="n">
        <v>1</v>
      </c>
      <c r="E45" t="n">
        <v>18.89</v>
      </c>
      <c r="F45" t="n">
        <v>18.89</v>
      </c>
      <c r="G45" t="n">
        <v>18.89</v>
      </c>
      <c r="H45" t="inlineStr">
        <is>
          <t>E350BR</t>
        </is>
      </c>
      <c r="I45" t="inlineStr"/>
      <c r="J45" t="n">
        <v>0.22</v>
      </c>
      <c r="K45" t="inlineStr">
        <is>
          <t>3C2</t>
        </is>
      </c>
      <c r="L45" t="n">
        <v>1</v>
      </c>
      <c r="M45" t="inlineStr">
        <is>
          <t>TST-SFD-46-01-01-07-000-14281</t>
        </is>
      </c>
    </row>
    <row r="46">
      <c r="A46" t="inlineStr">
        <is>
          <t>3p511</t>
        </is>
      </c>
      <c r="B46" t="inlineStr">
        <is>
          <t>PL20*630</t>
        </is>
      </c>
      <c r="C46" t="n">
        <v>1105.5</v>
      </c>
      <c r="D46" t="n">
        <v>1</v>
      </c>
      <c r="E46" t="n">
        <v>109.26</v>
      </c>
      <c r="F46" t="n">
        <v>74.73999999999999</v>
      </c>
      <c r="G46" t="n">
        <v>109.26</v>
      </c>
      <c r="H46" t="inlineStr">
        <is>
          <t>E350A</t>
        </is>
      </c>
      <c r="I46" t="inlineStr"/>
      <c r="J46" t="n">
        <v>1.01</v>
      </c>
      <c r="K46" t="inlineStr">
        <is>
          <t>3C2</t>
        </is>
      </c>
      <c r="L46" t="n">
        <v>1</v>
      </c>
      <c r="M46" t="inlineStr">
        <is>
          <t>TST-SFD-46-01-01-07-000-14281</t>
        </is>
      </c>
    </row>
    <row r="47">
      <c r="A47" t="inlineStr">
        <is>
          <t>3p518</t>
        </is>
      </c>
      <c r="B47" t="inlineStr">
        <is>
          <t>PL20*630</t>
        </is>
      </c>
      <c r="C47" t="n">
        <v>1105.5</v>
      </c>
      <c r="D47" t="n">
        <v>1</v>
      </c>
      <c r="E47" t="n">
        <v>109.26</v>
      </c>
      <c r="F47" t="n">
        <v>74.73999999999999</v>
      </c>
      <c r="G47" t="n">
        <v>109.26</v>
      </c>
      <c r="H47" t="inlineStr">
        <is>
          <t>E350A</t>
        </is>
      </c>
      <c r="I47" t="inlineStr"/>
      <c r="J47" t="n">
        <v>1.01</v>
      </c>
      <c r="K47" t="inlineStr">
        <is>
          <t>3C2</t>
        </is>
      </c>
      <c r="L47" t="n">
        <v>1</v>
      </c>
      <c r="M47" t="inlineStr">
        <is>
          <t>TST-SFD-46-01-01-07-000-14281</t>
        </is>
      </c>
    </row>
    <row r="48">
      <c r="A48" t="inlineStr">
        <is>
          <t>3p525</t>
        </is>
      </c>
      <c r="B48" t="inlineStr">
        <is>
          <t>PL16*359</t>
        </is>
      </c>
      <c r="C48" t="n">
        <v>475</v>
      </c>
      <c r="D48" t="n">
        <v>2</v>
      </c>
      <c r="E48" t="n">
        <v>21.42</v>
      </c>
      <c r="F48" t="n">
        <v>42.52</v>
      </c>
      <c r="G48" t="n">
        <v>42.84</v>
      </c>
      <c r="H48" t="inlineStr">
        <is>
          <t>E350A</t>
        </is>
      </c>
      <c r="I48" t="inlineStr"/>
      <c r="J48" t="n">
        <v>0.36</v>
      </c>
      <c r="K48" t="inlineStr">
        <is>
          <t>3C2</t>
        </is>
      </c>
      <c r="L48" t="n">
        <v>1</v>
      </c>
      <c r="M48" t="inlineStr">
        <is>
          <t>TST-SFD-46-01-01-07-000-14281</t>
        </is>
      </c>
    </row>
    <row r="49">
      <c r="A49" t="inlineStr">
        <is>
          <t>3p526</t>
        </is>
      </c>
      <c r="B49" t="inlineStr">
        <is>
          <t>PL25*200</t>
        </is>
      </c>
      <c r="C49" t="n">
        <v>485</v>
      </c>
      <c r="D49" t="n">
        <v>1</v>
      </c>
      <c r="E49" t="n">
        <v>19.04</v>
      </c>
      <c r="F49" t="n">
        <v>19.04</v>
      </c>
      <c r="G49" t="n">
        <v>19.04</v>
      </c>
      <c r="H49" t="inlineStr">
        <is>
          <t>E350BR</t>
        </is>
      </c>
      <c r="I49" t="inlineStr"/>
      <c r="J49" t="n">
        <v>0.23</v>
      </c>
      <c r="K49" t="inlineStr">
        <is>
          <t>3C2</t>
        </is>
      </c>
      <c r="L49" t="n">
        <v>1</v>
      </c>
      <c r="M49" t="inlineStr">
        <is>
          <t>TST-SFD-46-01-01-07-000-14281</t>
        </is>
      </c>
    </row>
    <row r="50">
      <c r="A50" t="inlineStr">
        <is>
          <t>3p527</t>
        </is>
      </c>
      <c r="B50" t="inlineStr">
        <is>
          <t>PL25*230</t>
        </is>
      </c>
      <c r="C50" t="n">
        <v>571</v>
      </c>
      <c r="D50" t="n">
        <v>2</v>
      </c>
      <c r="E50" t="n">
        <v>25.77</v>
      </c>
      <c r="F50" t="n">
        <v>51.55</v>
      </c>
      <c r="G50" t="n">
        <v>51.55</v>
      </c>
      <c r="H50" t="inlineStr">
        <is>
          <t>E350BR</t>
        </is>
      </c>
      <c r="I50" t="inlineStr"/>
      <c r="J50" t="n">
        <v>0.3</v>
      </c>
      <c r="K50" t="inlineStr">
        <is>
          <t>3C2</t>
        </is>
      </c>
      <c r="L50" t="n">
        <v>1</v>
      </c>
      <c r="M50" t="inlineStr">
        <is>
          <t>TST-SFD-46-01-01-07-000-14281</t>
        </is>
      </c>
    </row>
    <row r="51">
      <c r="A51" t="inlineStr">
        <is>
          <t>3p528</t>
        </is>
      </c>
      <c r="B51" t="inlineStr">
        <is>
          <t>PL25*200</t>
        </is>
      </c>
      <c r="C51" t="n">
        <v>485</v>
      </c>
      <c r="D51" t="n">
        <v>1</v>
      </c>
      <c r="E51" t="n">
        <v>19.04</v>
      </c>
      <c r="F51" t="n">
        <v>19.04</v>
      </c>
      <c r="G51" t="n">
        <v>19.04</v>
      </c>
      <c r="H51" t="inlineStr">
        <is>
          <t>E350BR</t>
        </is>
      </c>
      <c r="I51" t="inlineStr"/>
      <c r="J51" t="n">
        <v>0.23</v>
      </c>
      <c r="K51" t="inlineStr">
        <is>
          <t>3C2</t>
        </is>
      </c>
      <c r="L51" t="n">
        <v>1</v>
      </c>
      <c r="M51" t="inlineStr">
        <is>
          <t>TST-SFD-46-01-01-07-000-14281</t>
        </is>
      </c>
    </row>
    <row r="52">
      <c r="A52" t="inlineStr">
        <is>
          <t>3p530</t>
        </is>
      </c>
      <c r="B52" t="inlineStr">
        <is>
          <t>PL14*452</t>
        </is>
      </c>
      <c r="C52" t="n">
        <v>517.2</v>
      </c>
      <c r="D52" t="n">
        <v>2</v>
      </c>
      <c r="E52" t="n">
        <v>25.71</v>
      </c>
      <c r="F52" t="n">
        <v>45.4</v>
      </c>
      <c r="G52" t="n">
        <v>51.41</v>
      </c>
      <c r="H52" t="inlineStr">
        <is>
          <t>E350A</t>
        </is>
      </c>
      <c r="I52" t="inlineStr"/>
      <c r="J52" t="n">
        <v>0.44</v>
      </c>
      <c r="K52" t="inlineStr">
        <is>
          <t>3C2</t>
        </is>
      </c>
      <c r="L52" t="n">
        <v>1</v>
      </c>
      <c r="M52" t="inlineStr">
        <is>
          <t>TST-SFD-46-01-01-07-000-14281</t>
        </is>
      </c>
    </row>
    <row r="53">
      <c r="A53" t="inlineStr">
        <is>
          <t>3p531</t>
        </is>
      </c>
      <c r="B53" t="inlineStr">
        <is>
          <t>PL20*630</t>
        </is>
      </c>
      <c r="C53" t="n">
        <v>630</v>
      </c>
      <c r="D53" t="n">
        <v>2</v>
      </c>
      <c r="E53" t="n">
        <v>62.27</v>
      </c>
      <c r="F53" t="n">
        <v>101.29</v>
      </c>
      <c r="G53" t="n">
        <v>124.53</v>
      </c>
      <c r="H53" t="inlineStr">
        <is>
          <t>E350A</t>
        </is>
      </c>
      <c r="I53" t="inlineStr"/>
      <c r="J53" t="n">
        <v>0.6899999999999999</v>
      </c>
      <c r="K53" t="inlineStr">
        <is>
          <t>3C2</t>
        </is>
      </c>
      <c r="L53" t="n">
        <v>1</v>
      </c>
      <c r="M53" t="inlineStr">
        <is>
          <t>TST-SFD-46-01-01-07-000-14281</t>
        </is>
      </c>
    </row>
    <row r="54">
      <c r="A54" t="inlineStr">
        <is>
          <t>3p557</t>
        </is>
      </c>
      <c r="B54" t="inlineStr">
        <is>
          <t>PL25*234</t>
        </is>
      </c>
      <c r="C54" t="n">
        <v>1120</v>
      </c>
      <c r="D54" t="n">
        <v>8</v>
      </c>
      <c r="E54" t="n">
        <v>51.43</v>
      </c>
      <c r="F54" t="n">
        <v>410.84</v>
      </c>
      <c r="G54" t="n">
        <v>411.47</v>
      </c>
      <c r="H54" t="inlineStr">
        <is>
          <t>E350BR</t>
        </is>
      </c>
      <c r="I54" t="inlineStr"/>
      <c r="J54" t="n">
        <v>0.59</v>
      </c>
      <c r="K54" t="inlineStr">
        <is>
          <t>3C2</t>
        </is>
      </c>
      <c r="L54" t="n">
        <v>1</v>
      </c>
      <c r="M54" t="inlineStr">
        <is>
          <t>TST-SFD-46-01-01-07-000-14281</t>
        </is>
      </c>
    </row>
    <row r="55">
      <c r="A55" t="inlineStr">
        <is>
          <t>3p567</t>
        </is>
      </c>
      <c r="B55" t="inlineStr">
        <is>
          <t>PL12*200</t>
        </is>
      </c>
      <c r="C55" t="n">
        <v>631</v>
      </c>
      <c r="D55" t="n">
        <v>7</v>
      </c>
      <c r="E55" t="n">
        <v>11.89</v>
      </c>
      <c r="F55" t="n">
        <v>66.26000000000001</v>
      </c>
      <c r="G55" t="n">
        <v>83.22</v>
      </c>
      <c r="H55" t="inlineStr">
        <is>
          <t>E350A</t>
        </is>
      </c>
      <c r="I55" t="inlineStr"/>
      <c r="J55" t="n">
        <v>0.22</v>
      </c>
      <c r="K55" t="inlineStr">
        <is>
          <t>3C2</t>
        </is>
      </c>
      <c r="L55" t="n">
        <v>1</v>
      </c>
      <c r="M55" t="inlineStr">
        <is>
          <t>TST-SFD-46-01-01-07-000-14281</t>
        </is>
      </c>
    </row>
    <row r="56">
      <c r="A56" t="inlineStr">
        <is>
          <t>3p569</t>
        </is>
      </c>
      <c r="B56" t="inlineStr">
        <is>
          <t>PL16*260</t>
        </is>
      </c>
      <c r="C56" t="n">
        <v>629</v>
      </c>
      <c r="D56" t="n">
        <v>11</v>
      </c>
      <c r="E56" t="n">
        <v>20.54</v>
      </c>
      <c r="F56" t="n">
        <v>224.85</v>
      </c>
      <c r="G56" t="n">
        <v>225.95</v>
      </c>
      <c r="H56" t="inlineStr">
        <is>
          <t>E350A</t>
        </is>
      </c>
      <c r="I56" t="inlineStr"/>
      <c r="J56" t="n">
        <v>0.35</v>
      </c>
      <c r="K56" t="inlineStr">
        <is>
          <t>3C2</t>
        </is>
      </c>
      <c r="L56" t="n">
        <v>1</v>
      </c>
      <c r="M56" t="inlineStr">
        <is>
          <t>TST-SFD-46-01-01-07-000-14281</t>
        </is>
      </c>
    </row>
    <row r="57">
      <c r="A57" t="inlineStr">
        <is>
          <t>3p586</t>
        </is>
      </c>
      <c r="B57" t="inlineStr">
        <is>
          <t>PL12*164</t>
        </is>
      </c>
      <c r="C57" t="n">
        <v>631</v>
      </c>
      <c r="D57" t="n">
        <v>4</v>
      </c>
      <c r="E57" t="n">
        <v>9.75</v>
      </c>
      <c r="F57" t="n">
        <v>31.49</v>
      </c>
      <c r="G57" t="n">
        <v>38.99</v>
      </c>
      <c r="H57" t="inlineStr">
        <is>
          <t>E350A</t>
        </is>
      </c>
      <c r="I57" t="inlineStr"/>
      <c r="J57" t="n">
        <v>0.18</v>
      </c>
      <c r="K57" t="inlineStr">
        <is>
          <t>3C2</t>
        </is>
      </c>
      <c r="L57" t="n">
        <v>1</v>
      </c>
      <c r="M57" t="inlineStr">
        <is>
          <t>TST-SFD-46-01-01-07-000-14281</t>
        </is>
      </c>
    </row>
    <row r="58">
      <c r="A58" t="inlineStr">
        <is>
          <t>3p615</t>
        </is>
      </c>
      <c r="B58" t="inlineStr">
        <is>
          <t>PL12*250</t>
        </is>
      </c>
      <c r="C58" t="n">
        <v>561</v>
      </c>
      <c r="D58" t="n">
        <v>2</v>
      </c>
      <c r="E58" t="n">
        <v>13.21</v>
      </c>
      <c r="F58" t="n">
        <v>19.87</v>
      </c>
      <c r="G58" t="n">
        <v>26.42</v>
      </c>
      <c r="H58" t="inlineStr">
        <is>
          <t>E350A</t>
        </is>
      </c>
      <c r="I58" t="inlineStr"/>
      <c r="J58" t="n">
        <v>0.23</v>
      </c>
      <c r="K58" t="inlineStr">
        <is>
          <t>3C2</t>
        </is>
      </c>
      <c r="L58" t="n">
        <v>1</v>
      </c>
      <c r="M58" t="inlineStr">
        <is>
          <t>TST-SFD-46-01-01-07-000-14281</t>
        </is>
      </c>
    </row>
    <row r="59">
      <c r="A59" t="inlineStr">
        <is>
          <t>3p616</t>
        </is>
      </c>
      <c r="B59" t="inlineStr">
        <is>
          <t>PL20*200</t>
        </is>
      </c>
      <c r="C59" t="n">
        <v>411</v>
      </c>
      <c r="D59" t="n">
        <v>2</v>
      </c>
      <c r="E59" t="n">
        <v>12.91</v>
      </c>
      <c r="F59" t="n">
        <v>25.81</v>
      </c>
      <c r="G59" t="n">
        <v>25.81</v>
      </c>
      <c r="H59" t="inlineStr">
        <is>
          <t>E350A</t>
        </is>
      </c>
      <c r="I59" t="inlineStr"/>
      <c r="J59" t="n">
        <v>0.19</v>
      </c>
      <c r="K59" t="inlineStr">
        <is>
          <t>3C2</t>
        </is>
      </c>
      <c r="L59" t="n">
        <v>1</v>
      </c>
      <c r="M59" t="inlineStr">
        <is>
          <t>TST-SFD-46-01-01-07-000-14281</t>
        </is>
      </c>
    </row>
    <row r="60">
      <c r="A60" t="inlineStr">
        <is>
          <t>3p617</t>
        </is>
      </c>
      <c r="B60" t="inlineStr">
        <is>
          <t>PL20*200</t>
        </is>
      </c>
      <c r="C60" t="n">
        <v>229</v>
      </c>
      <c r="D60" t="n">
        <v>2</v>
      </c>
      <c r="E60" t="n">
        <v>7.19</v>
      </c>
      <c r="F60" t="n">
        <v>14.38</v>
      </c>
      <c r="G60" t="n">
        <v>14.38</v>
      </c>
      <c r="H60" t="inlineStr">
        <is>
          <t>E350A</t>
        </is>
      </c>
      <c r="I60" t="inlineStr"/>
      <c r="J60" t="n">
        <v>0.11</v>
      </c>
      <c r="K60" t="inlineStr">
        <is>
          <t>3C2</t>
        </is>
      </c>
      <c r="L60" t="n">
        <v>1</v>
      </c>
      <c r="M60" t="inlineStr">
        <is>
          <t>TST-SFD-46-01-01-07-000-14281</t>
        </is>
      </c>
    </row>
    <row r="61">
      <c r="A61" t="inlineStr">
        <is>
          <t>3p618</t>
        </is>
      </c>
      <c r="B61" t="inlineStr">
        <is>
          <t>PL10*229</t>
        </is>
      </c>
      <c r="C61" t="n">
        <v>380</v>
      </c>
      <c r="D61" t="n">
        <v>2</v>
      </c>
      <c r="E61" t="n">
        <v>6.83</v>
      </c>
      <c r="F61" t="n">
        <v>13.54</v>
      </c>
      <c r="G61" t="n">
        <v>13.66</v>
      </c>
      <c r="H61" t="inlineStr">
        <is>
          <t>E350A</t>
        </is>
      </c>
      <c r="I61" t="inlineStr"/>
      <c r="J61" t="n">
        <v>0.18</v>
      </c>
      <c r="K61" t="inlineStr">
        <is>
          <t>3C2</t>
        </is>
      </c>
      <c r="L61" t="n">
        <v>1</v>
      </c>
      <c r="M61" t="inlineStr">
        <is>
          <t>TST-SFD-46-01-01-07-000-14281</t>
        </is>
      </c>
    </row>
    <row r="62">
      <c r="A62" t="inlineStr">
        <is>
          <t>3p620</t>
        </is>
      </c>
      <c r="B62" t="inlineStr">
        <is>
          <t>PL20*200</t>
        </is>
      </c>
      <c r="C62" t="n">
        <v>390</v>
      </c>
      <c r="D62" t="n">
        <v>2</v>
      </c>
      <c r="E62" t="n">
        <v>12.25</v>
      </c>
      <c r="F62" t="n">
        <v>24.49</v>
      </c>
      <c r="G62" t="n">
        <v>24.49</v>
      </c>
      <c r="H62" t="inlineStr">
        <is>
          <t>E350A</t>
        </is>
      </c>
      <c r="I62" t="inlineStr"/>
      <c r="J62" t="n">
        <v>0.18</v>
      </c>
      <c r="K62" t="inlineStr">
        <is>
          <t>3C2</t>
        </is>
      </c>
      <c r="L62" t="n">
        <v>1</v>
      </c>
      <c r="M62" t="inlineStr">
        <is>
          <t>TST-SFD-46-01-01-07-000-14281</t>
        </is>
      </c>
    </row>
    <row r="63">
      <c r="A63" t="inlineStr">
        <is>
          <t>3p622</t>
        </is>
      </c>
      <c r="B63" t="inlineStr">
        <is>
          <t>PL25*200</t>
        </is>
      </c>
      <c r="C63" t="n">
        <v>548</v>
      </c>
      <c r="D63" t="n">
        <v>2</v>
      </c>
      <c r="E63" t="n">
        <v>21.51</v>
      </c>
      <c r="F63" t="n">
        <v>43.02</v>
      </c>
      <c r="G63" t="n">
        <v>43.02</v>
      </c>
      <c r="H63" t="inlineStr">
        <is>
          <t>E350BR</t>
        </is>
      </c>
      <c r="I63" t="inlineStr"/>
      <c r="J63" t="n">
        <v>0.26</v>
      </c>
      <c r="K63" t="inlineStr">
        <is>
          <t>3C2</t>
        </is>
      </c>
      <c r="L63" t="n">
        <v>1</v>
      </c>
      <c r="M63" t="inlineStr">
        <is>
          <t>TST-SFD-46-01-01-07-000-14281</t>
        </is>
      </c>
    </row>
    <row r="64">
      <c r="A64" t="inlineStr">
        <is>
          <t>3p623</t>
        </is>
      </c>
      <c r="B64" t="inlineStr">
        <is>
          <t>PL25*200</t>
        </is>
      </c>
      <c r="C64" t="n">
        <v>350</v>
      </c>
      <c r="D64" t="n">
        <v>2</v>
      </c>
      <c r="E64" t="n">
        <v>13.74</v>
      </c>
      <c r="F64" t="n">
        <v>27.47</v>
      </c>
      <c r="G64" t="n">
        <v>27.47</v>
      </c>
      <c r="H64" t="inlineStr">
        <is>
          <t>E350BR</t>
        </is>
      </c>
      <c r="I64" t="inlineStr"/>
      <c r="J64" t="n">
        <v>0.17</v>
      </c>
      <c r="K64" t="inlineStr">
        <is>
          <t>3C2</t>
        </is>
      </c>
      <c r="L64" t="n">
        <v>1</v>
      </c>
      <c r="M64" t="inlineStr">
        <is>
          <t>TST-SFD-46-01-01-07-000-14281</t>
        </is>
      </c>
    </row>
    <row r="65">
      <c r="A65" t="inlineStr">
        <is>
          <t>3p624</t>
        </is>
      </c>
      <c r="B65" t="inlineStr">
        <is>
          <t>PL10*250</t>
        </is>
      </c>
      <c r="C65" t="n">
        <v>548</v>
      </c>
      <c r="D65" t="n">
        <v>2</v>
      </c>
      <c r="E65" t="n">
        <v>10.75</v>
      </c>
      <c r="F65" t="n">
        <v>18.85</v>
      </c>
      <c r="G65" t="n">
        <v>21.51</v>
      </c>
      <c r="H65" t="inlineStr">
        <is>
          <t>E350A</t>
        </is>
      </c>
      <c r="I65" t="inlineStr"/>
      <c r="J65" t="n">
        <v>0.25</v>
      </c>
      <c r="K65" t="inlineStr">
        <is>
          <t>3C2</t>
        </is>
      </c>
      <c r="L65" t="n">
        <v>1</v>
      </c>
      <c r="M65" t="inlineStr">
        <is>
          <t>TST-SFD-46-01-01-07-000-14281</t>
        </is>
      </c>
    </row>
    <row r="66">
      <c r="A66" t="inlineStr">
        <is>
          <t>3p625</t>
        </is>
      </c>
      <c r="B66" t="inlineStr">
        <is>
          <t>PL25*200</t>
        </is>
      </c>
      <c r="C66" t="n">
        <v>385</v>
      </c>
      <c r="D66" t="n">
        <v>3</v>
      </c>
      <c r="E66" t="n">
        <v>15.11</v>
      </c>
      <c r="F66" t="n">
        <v>45.33</v>
      </c>
      <c r="G66" t="n">
        <v>45.33</v>
      </c>
      <c r="H66" t="inlineStr">
        <is>
          <t>E350BR</t>
        </is>
      </c>
      <c r="I66" t="inlineStr"/>
      <c r="J66" t="n">
        <v>0.18</v>
      </c>
      <c r="K66" t="inlineStr">
        <is>
          <t>3C2</t>
        </is>
      </c>
      <c r="L66" t="n">
        <v>1</v>
      </c>
      <c r="M66" t="inlineStr">
        <is>
          <t>TST-SFD-46-01-01-07-000-14281</t>
        </is>
      </c>
    </row>
    <row r="67">
      <c r="A67" t="inlineStr">
        <is>
          <t>3p626</t>
        </is>
      </c>
      <c r="B67" t="inlineStr">
        <is>
          <t>PL12*350</t>
        </is>
      </c>
      <c r="C67" t="n">
        <v>375</v>
      </c>
      <c r="D67" t="n">
        <v>2</v>
      </c>
      <c r="E67" t="n">
        <v>12.36</v>
      </c>
      <c r="F67" t="n">
        <v>24.58</v>
      </c>
      <c r="G67" t="n">
        <v>24.73</v>
      </c>
      <c r="H67" t="inlineStr">
        <is>
          <t>E350A</t>
        </is>
      </c>
      <c r="I67" t="inlineStr"/>
      <c r="J67" t="n">
        <v>0.28</v>
      </c>
      <c r="K67" t="inlineStr">
        <is>
          <t>3C2</t>
        </is>
      </c>
      <c r="L67" t="n">
        <v>1</v>
      </c>
      <c r="M67" t="inlineStr">
        <is>
          <t>TST-SFD-46-01-01-07-000-14281</t>
        </is>
      </c>
    </row>
    <row r="68">
      <c r="A68" t="inlineStr">
        <is>
          <t>3p627</t>
        </is>
      </c>
      <c r="B68" t="inlineStr">
        <is>
          <t>PL25*200</t>
        </is>
      </c>
      <c r="C68" t="n">
        <v>473</v>
      </c>
      <c r="D68" t="n">
        <v>2</v>
      </c>
      <c r="E68" t="n">
        <v>18.57</v>
      </c>
      <c r="F68" t="n">
        <v>37.13</v>
      </c>
      <c r="G68" t="n">
        <v>37.13</v>
      </c>
      <c r="H68" t="inlineStr">
        <is>
          <t>E350BR</t>
        </is>
      </c>
      <c r="I68" t="inlineStr"/>
      <c r="J68" t="n">
        <v>0.22</v>
      </c>
      <c r="K68" t="inlineStr">
        <is>
          <t>3C2</t>
        </is>
      </c>
      <c r="L68" t="n">
        <v>1</v>
      </c>
      <c r="M68" t="inlineStr">
        <is>
          <t>TST-SFD-46-01-01-07-000-14281</t>
        </is>
      </c>
    </row>
    <row r="69">
      <c r="A69" t="inlineStr">
        <is>
          <t>3p628</t>
        </is>
      </c>
      <c r="B69" t="inlineStr">
        <is>
          <t>PL25*200</t>
        </is>
      </c>
      <c r="C69" t="n">
        <v>200</v>
      </c>
      <c r="D69" t="n">
        <v>2</v>
      </c>
      <c r="E69" t="n">
        <v>7.85</v>
      </c>
      <c r="F69" t="n">
        <v>15.7</v>
      </c>
      <c r="G69" t="n">
        <v>15.7</v>
      </c>
      <c r="H69" t="inlineStr">
        <is>
          <t>E350BR</t>
        </is>
      </c>
      <c r="I69" t="inlineStr"/>
      <c r="J69" t="n">
        <v>0.1</v>
      </c>
      <c r="K69" t="inlineStr">
        <is>
          <t>3C2</t>
        </is>
      </c>
      <c r="L69" t="n">
        <v>1</v>
      </c>
      <c r="M69" t="inlineStr">
        <is>
          <t>TST-SFD-46-01-01-07-000-14281</t>
        </is>
      </c>
    </row>
    <row r="70">
      <c r="A70" t="inlineStr">
        <is>
          <t>3p630</t>
        </is>
      </c>
      <c r="B70" t="inlineStr">
        <is>
          <t>PL25*200</t>
        </is>
      </c>
      <c r="C70" t="n">
        <v>385</v>
      </c>
      <c r="D70" t="n">
        <v>1</v>
      </c>
      <c r="E70" t="n">
        <v>15.11</v>
      </c>
      <c r="F70" t="n">
        <v>15.11</v>
      </c>
      <c r="G70" t="n">
        <v>15.11</v>
      </c>
      <c r="H70" t="inlineStr">
        <is>
          <t>E350BR</t>
        </is>
      </c>
      <c r="I70" t="inlineStr"/>
      <c r="J70" t="n">
        <v>0.18</v>
      </c>
      <c r="K70" t="inlineStr">
        <is>
          <t>3C2</t>
        </is>
      </c>
      <c r="L70" t="n">
        <v>1</v>
      </c>
      <c r="M70" t="inlineStr">
        <is>
          <t>TST-SFD-46-01-01-07-000-14281</t>
        </is>
      </c>
    </row>
    <row r="71">
      <c r="A71" t="inlineStr">
        <is>
          <t>3p631</t>
        </is>
      </c>
      <c r="B71" t="inlineStr">
        <is>
          <t>PL12*200</t>
        </is>
      </c>
      <c r="C71" t="n">
        <v>375</v>
      </c>
      <c r="D71" t="n">
        <v>2</v>
      </c>
      <c r="E71" t="n">
        <v>7.07</v>
      </c>
      <c r="F71" t="n">
        <v>13.98</v>
      </c>
      <c r="G71" t="n">
        <v>14.13</v>
      </c>
      <c r="H71" t="inlineStr">
        <is>
          <t>E350A</t>
        </is>
      </c>
      <c r="I71" t="inlineStr"/>
      <c r="J71" t="n">
        <v>0.16</v>
      </c>
      <c r="K71" t="inlineStr">
        <is>
          <t>3C2</t>
        </is>
      </c>
      <c r="L71" t="n">
        <v>1</v>
      </c>
      <c r="M71" t="inlineStr">
        <is>
          <t>TST-SFD-46-01-01-07-000-14281</t>
        </is>
      </c>
    </row>
    <row r="72">
      <c r="A72" t="inlineStr">
        <is>
          <t>3p741</t>
        </is>
      </c>
      <c r="B72" t="inlineStr">
        <is>
          <t>PL14*471</t>
        </is>
      </c>
      <c r="C72" t="n">
        <v>607.3</v>
      </c>
      <c r="D72" t="n">
        <v>2</v>
      </c>
      <c r="E72" t="n">
        <v>31.46</v>
      </c>
      <c r="F72" t="n">
        <v>56.16</v>
      </c>
      <c r="G72" t="n">
        <v>62.92</v>
      </c>
      <c r="H72" t="inlineStr">
        <is>
          <t>E350A</t>
        </is>
      </c>
      <c r="I72" t="inlineStr"/>
      <c r="J72" t="n">
        <v>0.54</v>
      </c>
      <c r="K72" t="inlineStr">
        <is>
          <t>3C2</t>
        </is>
      </c>
      <c r="L72" t="n">
        <v>1</v>
      </c>
      <c r="M72" t="inlineStr">
        <is>
          <t>TST-SFD-46-01-01-07-000-14281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mark_no</t>
        </is>
      </c>
      <c r="B1" t="inlineStr">
        <is>
          <t>grid_location</t>
        </is>
      </c>
      <c r="C1" t="inlineStr">
        <is>
          <t>level</t>
        </is>
      </c>
    </row>
    <row r="2">
      <c r="A2" t="inlineStr">
        <is>
          <t>3C2</t>
        </is>
      </c>
      <c r="B2" t="inlineStr">
        <is>
          <t>37a-39a/LA</t>
        </is>
      </c>
      <c r="C2" t="inlineStr">
        <is>
          <t>EL. +24.500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sr</t>
        </is>
      </c>
      <c r="B1" t="inlineStr">
        <is>
          <t>description</t>
        </is>
      </c>
      <c r="C1" t="inlineStr">
        <is>
          <t>total_wt</t>
        </is>
      </c>
    </row>
    <row r="2">
      <c r="A2" t="n">
        <v>1</v>
      </c>
      <c r="B2" t="inlineStr">
        <is>
          <t>ISA50X50X6</t>
        </is>
      </c>
      <c r="C2" t="n">
        <v>25.25</v>
      </c>
    </row>
    <row r="3">
      <c r="A3" t="n">
        <v>2</v>
      </c>
      <c r="B3" t="inlineStr">
        <is>
          <t>ISA75X75X8</t>
        </is>
      </c>
      <c r="C3" t="n">
        <v>221.3</v>
      </c>
    </row>
    <row r="4">
      <c r="A4" t="n">
        <v>3</v>
      </c>
      <c r="B4" t="inlineStr">
        <is>
          <t>ISA200X200X20</t>
        </is>
      </c>
      <c r="C4" t="n">
        <v>1083.19</v>
      </c>
    </row>
    <row r="5">
      <c r="A5" t="n">
        <v>4</v>
      </c>
      <c r="B5" t="inlineStr">
        <is>
          <t>ISMC150</t>
        </is>
      </c>
      <c r="C5" t="n">
        <v>184.58</v>
      </c>
    </row>
    <row r="6">
      <c r="A6" t="n">
        <v>5</v>
      </c>
      <c r="B6" t="inlineStr">
        <is>
          <t>WH400X500X20X10</t>
        </is>
      </c>
      <c r="C6" t="n">
        <v>1828.89</v>
      </c>
    </row>
    <row r="7">
      <c r="A7" t="n">
        <v>6</v>
      </c>
      <c r="B7" t="inlineStr">
        <is>
          <t>WH500X300X16X10</t>
        </is>
      </c>
      <c r="C7" t="n">
        <v>276.66</v>
      </c>
    </row>
    <row r="8">
      <c r="A8" t="n">
        <v>7</v>
      </c>
      <c r="B8" t="inlineStr">
        <is>
          <t>WH1200X500X40X32</t>
        </is>
      </c>
      <c r="C8" t="n">
        <v>17567.41</v>
      </c>
    </row>
    <row r="9">
      <c r="A9" t="n">
        <v>8</v>
      </c>
      <c r="B9" t="inlineStr">
        <is>
          <t>PL 10 THK</t>
        </is>
      </c>
      <c r="C9" t="n">
        <v>111.96</v>
      </c>
    </row>
    <row r="10">
      <c r="A10" t="n">
        <v>9</v>
      </c>
      <c r="B10" t="inlineStr">
        <is>
          <t>PL 12 THK</t>
        </is>
      </c>
      <c r="C10" t="n">
        <v>206.44</v>
      </c>
    </row>
    <row r="11">
      <c r="A11" t="n">
        <v>10</v>
      </c>
      <c r="B11" t="inlineStr">
        <is>
          <t>PL 14 THK</t>
        </is>
      </c>
      <c r="C11" t="n">
        <v>690.39</v>
      </c>
    </row>
    <row r="12">
      <c r="A12" t="n">
        <v>11</v>
      </c>
      <c r="B12" t="inlineStr">
        <is>
          <t>PL 16 THK</t>
        </is>
      </c>
      <c r="C12" t="n">
        <v>1080.28</v>
      </c>
    </row>
    <row r="13">
      <c r="A13" t="n">
        <v>12</v>
      </c>
      <c r="B13" t="inlineStr">
        <is>
          <t>PL 20 THK</t>
        </is>
      </c>
      <c r="C13" t="n">
        <v>1226.2</v>
      </c>
    </row>
    <row r="14">
      <c r="A14" t="n">
        <v>13</v>
      </c>
      <c r="B14" t="inlineStr">
        <is>
          <t>PL 25 THK</t>
        </is>
      </c>
      <c r="C14" t="n">
        <v>1016.12</v>
      </c>
    </row>
    <row r="15">
      <c r="A15" t="n">
        <v>14</v>
      </c>
      <c r="B15" t="inlineStr">
        <is>
          <t>PL 32 THK</t>
        </is>
      </c>
      <c r="C15" t="n">
        <v>602.88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assembly_mark</t>
        </is>
      </c>
      <c r="B1" t="inlineStr">
        <is>
          <t>bolt_dia</t>
        </is>
      </c>
      <c r="C1" t="inlineStr">
        <is>
          <t>bolt_type</t>
        </is>
      </c>
      <c r="D1" t="inlineStr">
        <is>
          <t>bolt_length</t>
        </is>
      </c>
      <c r="E1" t="inlineStr">
        <is>
          <t>bolt_qty</t>
        </is>
      </c>
      <c r="F1" t="inlineStr">
        <is>
          <t>bolt_grade</t>
        </is>
      </c>
      <c r="G1" t="inlineStr">
        <is>
          <t>bolt_spec</t>
        </is>
      </c>
      <c r="H1" t="inlineStr">
        <is>
          <t>bolt_material</t>
        </is>
      </c>
      <c r="I1" t="inlineStr">
        <is>
          <t>nut_dia</t>
        </is>
      </c>
      <c r="J1" t="inlineStr">
        <is>
          <t>nut_qty</t>
        </is>
      </c>
      <c r="K1" t="inlineStr">
        <is>
          <t>nut_grade</t>
        </is>
      </c>
      <c r="L1" t="inlineStr">
        <is>
          <t>nut_spec</t>
        </is>
      </c>
      <c r="M1" t="inlineStr">
        <is>
          <t>nut_material</t>
        </is>
      </c>
      <c r="N1" t="inlineStr">
        <is>
          <t>washer_dia</t>
        </is>
      </c>
      <c r="O1" t="inlineStr">
        <is>
          <t>washer_type</t>
        </is>
      </c>
      <c r="P1" t="inlineStr">
        <is>
          <t>washer_qty</t>
        </is>
      </c>
      <c r="Q1" t="inlineStr">
        <is>
          <t>washer_spec</t>
        </is>
      </c>
      <c r="R1" t="inlineStr">
        <is>
          <t>washer_material</t>
        </is>
      </c>
      <c r="S1" t="inlineStr">
        <is>
          <t>taper_dia</t>
        </is>
      </c>
      <c r="T1" t="inlineStr">
        <is>
          <t>taper_type</t>
        </is>
      </c>
      <c r="U1" t="inlineStr">
        <is>
          <t>taper_qty</t>
        </is>
      </c>
      <c r="V1" t="inlineStr">
        <is>
          <t>taper_spec</t>
        </is>
      </c>
      <c r="W1" t="inlineStr">
        <is>
          <t>taper_material</t>
        </is>
      </c>
    </row>
    <row r="2">
      <c r="A2" t="inlineStr">
        <is>
          <t>3FR3</t>
        </is>
      </c>
      <c r="B2" t="inlineStr">
        <is>
          <t>20</t>
        </is>
      </c>
      <c r="C2" t="inlineStr">
        <is>
          <t>HEX</t>
        </is>
      </c>
      <c r="D2" t="inlineStr">
        <is>
          <t>105</t>
        </is>
      </c>
      <c r="E2" t="inlineStr">
        <is>
          <t>8</t>
        </is>
      </c>
      <c r="F2" t="inlineStr">
        <is>
          <t>8.8XOX</t>
        </is>
      </c>
      <c r="G2" t="inlineStr">
        <is>
          <t>IS:1364(II)-2023</t>
        </is>
      </c>
      <c r="H2" t="inlineStr">
        <is>
          <t>IS:1367 (I) 2014</t>
        </is>
      </c>
      <c r="I2" t="inlineStr">
        <is>
          <t>20</t>
        </is>
      </c>
      <c r="J2" t="inlineStr">
        <is>
          <t>16</t>
        </is>
      </c>
      <c r="K2" t="inlineStr">
        <is>
          <t>8.8XOX</t>
        </is>
      </c>
      <c r="L2" t="inlineStr">
        <is>
          <t>IS:1364(III)-2018</t>
        </is>
      </c>
      <c r="M2" t="inlineStr">
        <is>
          <t>IS:1367 (VI) 2025</t>
        </is>
      </c>
      <c r="N2" t="inlineStr">
        <is>
          <t>22</t>
        </is>
      </c>
      <c r="O2" t="inlineStr">
        <is>
          <t>FLAT-E</t>
        </is>
      </c>
      <c r="P2" t="inlineStr">
        <is>
          <t>8</t>
        </is>
      </c>
      <c r="Q2" t="inlineStr">
        <is>
          <t>IS:2016 - 1967</t>
        </is>
      </c>
      <c r="R2" t="inlineStr">
        <is>
          <t>IS:1570 (II) 1979</t>
        </is>
      </c>
      <c r="S2" t="inlineStr"/>
      <c r="T2" t="inlineStr"/>
      <c r="U2" t="inlineStr"/>
      <c r="V2" t="inlineStr"/>
      <c r="W2" t="inlineStr"/>
    </row>
    <row r="3">
      <c r="A3" t="inlineStr">
        <is>
          <t>3C1</t>
        </is>
      </c>
      <c r="B3" t="inlineStr">
        <is>
          <t>24</t>
        </is>
      </c>
      <c r="C3" t="inlineStr">
        <is>
          <t>HEX</t>
        </is>
      </c>
      <c r="D3" t="inlineStr">
        <is>
          <t>150</t>
        </is>
      </c>
      <c r="E3" t="inlineStr">
        <is>
          <t>88</t>
        </is>
      </c>
      <c r="F3" t="inlineStr">
        <is>
          <t>10.9XOX</t>
        </is>
      </c>
      <c r="G3" t="inlineStr">
        <is>
          <t>IS:1364(II)-2023</t>
        </is>
      </c>
      <c r="H3" t="inlineStr">
        <is>
          <t>IS:1367 (I) 2014</t>
        </is>
      </c>
      <c r="I3" t="inlineStr">
        <is>
          <t>24</t>
        </is>
      </c>
      <c r="J3" t="inlineStr">
        <is>
          <t>176</t>
        </is>
      </c>
      <c r="K3" t="inlineStr">
        <is>
          <t>10.9XOX</t>
        </is>
      </c>
      <c r="L3" t="inlineStr">
        <is>
          <t>IS:1364(III)-2018</t>
        </is>
      </c>
      <c r="M3" t="inlineStr">
        <is>
          <t>IS:1367 (VI) 2025</t>
        </is>
      </c>
      <c r="N3" t="inlineStr">
        <is>
          <t>26</t>
        </is>
      </c>
      <c r="O3" t="inlineStr">
        <is>
          <t>FLAT-E</t>
        </is>
      </c>
      <c r="P3" t="inlineStr">
        <is>
          <t>88</t>
        </is>
      </c>
      <c r="Q3" t="inlineStr">
        <is>
          <t>IS:2016 - 1967</t>
        </is>
      </c>
      <c r="R3" t="inlineStr">
        <is>
          <t>IS:1570 (II) 1979</t>
        </is>
      </c>
      <c r="S3" t="inlineStr"/>
      <c r="T3" t="inlineStr"/>
      <c r="U3" t="inlineStr"/>
      <c r="V3" t="inlineStr"/>
      <c r="W3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</t>
        </is>
      </c>
      <c r="B1" t="inlineStr">
        <is>
          <t>date</t>
        </is>
      </c>
      <c r="C1" t="inlineStr">
        <is>
          <t>description</t>
        </is>
      </c>
      <c r="D1" t="inlineStr">
        <is>
          <t>drn</t>
        </is>
      </c>
      <c r="E1" t="inlineStr">
        <is>
          <t>chd</t>
        </is>
      </c>
      <c r="F1" t="inlineStr">
        <is>
          <t>app</t>
        </is>
      </c>
    </row>
    <row r="2">
      <c r="A2" t="inlineStr">
        <is>
          <t>0</t>
        </is>
      </c>
      <c r="B2" t="inlineStr">
        <is>
          <t>01.06.2026</t>
        </is>
      </c>
      <c r="C2" t="inlineStr">
        <is>
          <t>ISSUED FOR CONSTRUCTION</t>
        </is>
      </c>
      <c r="D2" t="inlineStr">
        <is>
          <t>IRCON</t>
        </is>
      </c>
      <c r="E2" t="inlineStr">
        <is>
          <t>TML/NBT</t>
        </is>
      </c>
      <c r="F2" t="inlineStr">
        <is>
          <t>SSA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</t>
        </is>
      </c>
    </row>
    <row r="2">
      <c r="A2" t="inlineStr">
        <is>
          <t>1. ALL DIMENSIONS ARE IN mm &amp; LEVELS ARE IN METER(UNO)</t>
        </is>
      </c>
    </row>
    <row r="3">
      <c r="A3" t="inlineStr">
        <is>
          <t>2. ALL WELDS SHALL BE 6MM FILLET WELDS U.N.O. TST-SFD-46-01-01-07-000-14201 TO 14216</t>
        </is>
      </c>
    </row>
    <row r="4">
      <c r="A4" t="inlineStr">
        <is>
          <t>3. FOR MARKING REF. DRG. NO.</t>
        </is>
      </c>
    </row>
    <row r="5">
      <c r="A5" t="inlineStr">
        <is>
          <t>4. ALL PERMANENT BOLTS ARE FULL THREADED.</t>
        </is>
      </c>
    </row>
    <row r="6">
      <c r="A6" t="inlineStr">
        <is>
          <t>5. ERECTION BOLT/”C” CLAMP/”L” CLAMP AS APPLICABLE SHALL BE USED DURING STRUCTURAL ASSEMBLY IN FABRICATION SHOP.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kind</t>
        </is>
      </c>
      <c r="C1" t="inlineStr">
        <is>
          <t>ref</t>
        </is>
      </c>
      <c r="D1" t="inlineStr">
        <is>
          <t>scale</t>
        </is>
      </c>
      <c r="E1" t="inlineStr">
        <is>
          <t>cell</t>
        </is>
      </c>
    </row>
    <row r="2">
      <c r="A2" t="inlineStr">
        <is>
          <t>A - A</t>
        </is>
      </c>
      <c r="B2" t="inlineStr">
        <is>
          <t>section</t>
        </is>
      </c>
      <c r="C2" t="inlineStr">
        <is>
          <t>A</t>
        </is>
      </c>
      <c r="D2" t="inlineStr">
        <is>
          <t>1:25</t>
        </is>
      </c>
      <c r="E2" t="inlineStr">
        <is>
          <t>P3</t>
        </is>
      </c>
    </row>
    <row r="3">
      <c r="A3" t="inlineStr">
        <is>
          <t>B - B</t>
        </is>
      </c>
      <c r="B3" t="inlineStr">
        <is>
          <t>section</t>
        </is>
      </c>
      <c r="C3" t="inlineStr">
        <is>
          <t>B</t>
        </is>
      </c>
      <c r="D3" t="inlineStr">
        <is>
          <t>1:25</t>
        </is>
      </c>
      <c r="E3" t="inlineStr">
        <is>
          <t>N11</t>
        </is>
      </c>
    </row>
    <row r="4">
      <c r="A4" t="inlineStr">
        <is>
          <t>C - C</t>
        </is>
      </c>
      <c r="B4" t="inlineStr">
        <is>
          <t>section</t>
        </is>
      </c>
      <c r="C4" t="inlineStr">
        <is>
          <t>C</t>
        </is>
      </c>
      <c r="D4" t="inlineStr">
        <is>
          <t>1:20</t>
        </is>
      </c>
      <c r="E4" t="inlineStr">
        <is>
          <t>N18</t>
        </is>
      </c>
    </row>
    <row r="5">
      <c r="A5" t="inlineStr">
        <is>
          <t>D - D</t>
        </is>
      </c>
      <c r="B5" t="inlineStr">
        <is>
          <t>section</t>
        </is>
      </c>
      <c r="C5" t="inlineStr">
        <is>
          <t>D</t>
        </is>
      </c>
      <c r="D5" t="inlineStr">
        <is>
          <t>1:25</t>
        </is>
      </c>
      <c r="E5" t="inlineStr">
        <is>
          <t>Q12</t>
        </is>
      </c>
    </row>
    <row r="6">
      <c r="A6" t="inlineStr">
        <is>
          <t>E - E</t>
        </is>
      </c>
      <c r="B6" t="inlineStr">
        <is>
          <t>section</t>
        </is>
      </c>
      <c r="C6" t="inlineStr">
        <is>
          <t>E</t>
        </is>
      </c>
      <c r="D6" t="inlineStr">
        <is>
          <t>1:25</t>
        </is>
      </c>
      <c r="E6" t="inlineStr">
        <is>
          <t>K15</t>
        </is>
      </c>
    </row>
    <row r="7">
      <c r="A7" t="inlineStr">
        <is>
          <t>F - F</t>
        </is>
      </c>
      <c r="B7" t="inlineStr">
        <is>
          <t>section</t>
        </is>
      </c>
      <c r="C7" t="inlineStr">
        <is>
          <t>F</t>
        </is>
      </c>
      <c r="D7" t="inlineStr">
        <is>
          <t>1:25</t>
        </is>
      </c>
      <c r="E7" t="inlineStr">
        <is>
          <t>M15</t>
        </is>
      </c>
    </row>
    <row r="8">
      <c r="A8" t="inlineStr">
        <is>
          <t>G - G</t>
        </is>
      </c>
      <c r="B8" t="inlineStr">
        <is>
          <t>section</t>
        </is>
      </c>
      <c r="C8" t="inlineStr">
        <is>
          <t>G</t>
        </is>
      </c>
      <c r="D8" t="inlineStr">
        <is>
          <t>1:25</t>
        </is>
      </c>
      <c r="E8" t="inlineStr">
        <is>
          <t>P20</t>
        </is>
      </c>
    </row>
    <row r="9">
      <c r="A9" t="inlineStr">
        <is>
          <t>H - H</t>
        </is>
      </c>
      <c r="B9" t="inlineStr">
        <is>
          <t>section</t>
        </is>
      </c>
      <c r="C9" t="inlineStr">
        <is>
          <t>H</t>
        </is>
      </c>
      <c r="D9" t="inlineStr">
        <is>
          <t>1:25</t>
        </is>
      </c>
      <c r="E9" t="inlineStr">
        <is>
          <t>N23</t>
        </is>
      </c>
    </row>
    <row r="10">
      <c r="A10" t="inlineStr">
        <is>
          <t>L - L</t>
        </is>
      </c>
      <c r="B10" t="inlineStr">
        <is>
          <t>section</t>
        </is>
      </c>
      <c r="C10" t="inlineStr">
        <is>
          <t>L</t>
        </is>
      </c>
      <c r="D10" t="inlineStr">
        <is>
          <t>1:25</t>
        </is>
      </c>
      <c r="E10" t="inlineStr">
        <is>
          <t>N14</t>
        </is>
      </c>
    </row>
    <row r="11">
      <c r="A11" t="inlineStr">
        <is>
          <t>M - M</t>
        </is>
      </c>
      <c r="B11" t="inlineStr">
        <is>
          <t>section</t>
        </is>
      </c>
      <c r="C11" t="inlineStr">
        <is>
          <t>M</t>
        </is>
      </c>
      <c r="D11" t="inlineStr">
        <is>
          <t>1:25</t>
        </is>
      </c>
      <c r="E11" t="inlineStr">
        <is>
          <t>N13</t>
        </is>
      </c>
    </row>
    <row r="12">
      <c r="A12" t="inlineStr">
        <is>
          <t>J - J</t>
        </is>
      </c>
      <c r="B12" t="inlineStr">
        <is>
          <t>section</t>
        </is>
      </c>
      <c r="C12" t="inlineStr">
        <is>
          <t>J</t>
        </is>
      </c>
      <c r="D12" t="inlineStr">
        <is>
          <t>1:25</t>
        </is>
      </c>
      <c r="E12" t="inlineStr">
        <is>
          <t>G15</t>
        </is>
      </c>
    </row>
    <row r="13">
      <c r="A13" t="inlineStr">
        <is>
          <t>K - K</t>
        </is>
      </c>
      <c r="B13" t="inlineStr">
        <is>
          <t>section</t>
        </is>
      </c>
      <c r="C13" t="inlineStr">
        <is>
          <t>K</t>
        </is>
      </c>
      <c r="D13" t="inlineStr">
        <is>
          <t>1:25</t>
        </is>
      </c>
      <c r="E13" t="inlineStr">
        <is>
          <t>D15</t>
        </is>
      </c>
    </row>
    <row r="14">
      <c r="A14" t="inlineStr">
        <is>
          <t>M - M</t>
        </is>
      </c>
      <c r="B14" t="inlineStr">
        <is>
          <t>section</t>
        </is>
      </c>
      <c r="C14" t="inlineStr">
        <is>
          <t>M</t>
        </is>
      </c>
      <c r="D14" t="inlineStr">
        <is>
          <t>1:25</t>
        </is>
      </c>
      <c r="E14" t="inlineStr">
        <is>
          <t>P18</t>
        </is>
      </c>
    </row>
    <row r="15">
      <c r="A15" t="inlineStr">
        <is>
          <t>N - N</t>
        </is>
      </c>
      <c r="B15" t="inlineStr">
        <is>
          <t>section</t>
        </is>
      </c>
      <c r="C15" t="inlineStr">
        <is>
          <t>N</t>
        </is>
      </c>
      <c r="D15" t="inlineStr">
        <is>
          <t>1:25</t>
        </is>
      </c>
      <c r="E15" t="inlineStr">
        <is>
          <t>B16</t>
        </is>
      </c>
    </row>
    <row r="16">
      <c r="A16" t="inlineStr">
        <is>
          <t>O - O</t>
        </is>
      </c>
      <c r="B16" t="inlineStr">
        <is>
          <t>section</t>
        </is>
      </c>
      <c r="C16" t="inlineStr">
        <is>
          <t>O</t>
        </is>
      </c>
      <c r="D16" t="inlineStr">
        <is>
          <t>1:25</t>
        </is>
      </c>
      <c r="E16" t="inlineStr">
        <is>
          <t>N17</t>
        </is>
      </c>
    </row>
    <row r="17">
      <c r="A17" t="inlineStr">
        <is>
          <t>P - P</t>
        </is>
      </c>
      <c r="B17" t="inlineStr">
        <is>
          <t>section</t>
        </is>
      </c>
      <c r="C17" t="inlineStr">
        <is>
          <t>P</t>
        </is>
      </c>
      <c r="D17" t="inlineStr">
        <is>
          <t>1:25</t>
        </is>
      </c>
      <c r="E17" t="inlineStr">
        <is>
          <t>B15</t>
        </is>
      </c>
    </row>
    <row r="18">
      <c r="A18" t="inlineStr">
        <is>
          <t>Q - Q</t>
        </is>
      </c>
      <c r="B18" t="inlineStr">
        <is>
          <t>section</t>
        </is>
      </c>
      <c r="C18" t="inlineStr">
        <is>
          <t>Q</t>
        </is>
      </c>
      <c r="D18" t="inlineStr">
        <is>
          <t>1:25</t>
        </is>
      </c>
      <c r="E18" t="inlineStr">
        <is>
          <t>B15</t>
        </is>
      </c>
    </row>
    <row r="19">
      <c r="A19" t="inlineStr">
        <is>
          <t>R - R</t>
        </is>
      </c>
      <c r="B19" t="inlineStr">
        <is>
          <t>section</t>
        </is>
      </c>
      <c r="C19" t="inlineStr">
        <is>
          <t>R</t>
        </is>
      </c>
      <c r="D19" t="inlineStr">
        <is>
          <t>1:25</t>
        </is>
      </c>
      <c r="E19" t="inlineStr">
        <is>
          <t>Q10</t>
        </is>
      </c>
    </row>
    <row r="20">
      <c r="A20" t="inlineStr">
        <is>
          <t>S - S</t>
        </is>
      </c>
      <c r="B20" t="inlineStr">
        <is>
          <t>section</t>
        </is>
      </c>
      <c r="C20" t="inlineStr">
        <is>
          <t>S</t>
        </is>
      </c>
      <c r="D20" t="inlineStr">
        <is>
          <t>1:25</t>
        </is>
      </c>
      <c r="E20" t="inlineStr">
        <is>
          <t>Q5</t>
        </is>
      </c>
    </row>
    <row r="21">
      <c r="A21" t="inlineStr">
        <is>
          <t>T - T</t>
        </is>
      </c>
      <c r="B21" t="inlineStr">
        <is>
          <t>section</t>
        </is>
      </c>
      <c r="C21" t="inlineStr">
        <is>
          <t>T</t>
        </is>
      </c>
      <c r="D21" t="inlineStr">
        <is>
          <t>1:25</t>
        </is>
      </c>
      <c r="E21" t="inlineStr">
        <is>
          <t>Q8</t>
        </is>
      </c>
    </row>
    <row r="22">
      <c r="A22" t="inlineStr">
        <is>
          <t>U - U</t>
        </is>
      </c>
      <c r="B22" t="inlineStr">
        <is>
          <t>section</t>
        </is>
      </c>
      <c r="C22" t="inlineStr">
        <is>
          <t>U</t>
        </is>
      </c>
      <c r="D22" t="inlineStr">
        <is>
          <t>1:25</t>
        </is>
      </c>
      <c r="E22" t="inlineStr">
        <is>
          <t>Q15</t>
        </is>
      </c>
    </row>
    <row r="23">
      <c r="A23" t="inlineStr">
        <is>
          <t>V - V</t>
        </is>
      </c>
      <c r="B23" t="inlineStr">
        <is>
          <t>section</t>
        </is>
      </c>
      <c r="C23" t="inlineStr">
        <is>
          <t>V</t>
        </is>
      </c>
      <c r="D23" t="inlineStr">
        <is>
          <t>1:25</t>
        </is>
      </c>
      <c r="E23" t="inlineStr">
        <is>
          <t>Q3</t>
        </is>
      </c>
    </row>
    <row r="24">
      <c r="A24" t="inlineStr">
        <is>
          <t>W - W</t>
        </is>
      </c>
      <c r="B24" t="inlineStr">
        <is>
          <t>section</t>
        </is>
      </c>
      <c r="C24" t="inlineStr">
        <is>
          <t>W</t>
        </is>
      </c>
      <c r="D24" t="inlineStr">
        <is>
          <t>1:25</t>
        </is>
      </c>
      <c r="E24" t="inlineStr">
        <is>
          <t>Q14</t>
        </is>
      </c>
    </row>
    <row r="25">
      <c r="A25" t="inlineStr">
        <is>
          <t>X - X</t>
        </is>
      </c>
      <c r="B25" t="inlineStr">
        <is>
          <t>section</t>
        </is>
      </c>
      <c r="C25" t="inlineStr">
        <is>
          <t>X</t>
        </is>
      </c>
      <c r="D25" t="inlineStr">
        <is>
          <t>1:25</t>
        </is>
      </c>
      <c r="E25" t="inlineStr">
        <is>
          <t>B13</t>
        </is>
      </c>
    </row>
    <row r="26">
      <c r="A26" t="inlineStr">
        <is>
          <t>Y - Y</t>
        </is>
      </c>
      <c r="B26" t="inlineStr">
        <is>
          <t>section</t>
        </is>
      </c>
      <c r="C26" t="inlineStr">
        <is>
          <t>Y</t>
        </is>
      </c>
      <c r="D26" t="inlineStr">
        <is>
          <t>1:25</t>
        </is>
      </c>
      <c r="E26" t="inlineStr">
        <is>
          <t>N16</t>
        </is>
      </c>
    </row>
    <row r="27">
      <c r="A27" t="inlineStr">
        <is>
          <t>Z - Z</t>
        </is>
      </c>
      <c r="B27" t="inlineStr">
        <is>
          <t>section</t>
        </is>
      </c>
      <c r="C27" t="inlineStr">
        <is>
          <t>Z</t>
        </is>
      </c>
      <c r="D27" t="inlineStr">
        <is>
          <t>1:25</t>
        </is>
      </c>
      <c r="E27" t="inlineStr">
        <is>
          <t>P18</t>
        </is>
      </c>
    </row>
    <row r="28">
      <c r="A28" t="inlineStr">
        <is>
          <t>1 - 1</t>
        </is>
      </c>
      <c r="B28" t="inlineStr">
        <is>
          <t>section</t>
        </is>
      </c>
      <c r="C28" t="inlineStr">
        <is>
          <t>1</t>
        </is>
      </c>
      <c r="D28" t="inlineStr">
        <is>
          <t>1:25</t>
        </is>
      </c>
      <c r="E28" t="inlineStr">
        <is>
          <t>K17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level</t>
        </is>
      </c>
      <c r="C1" t="inlineStr">
        <is>
          <t>message</t>
        </is>
      </c>
      <c r="D1" t="inlineStr">
        <is>
          <t>region</t>
        </is>
      </c>
    </row>
    <row r="2">
      <c r="A2" t="inlineStr">
        <is>
          <t>bom.row_arith</t>
        </is>
      </c>
      <c r="B2" t="inlineStr">
        <is>
          <t>pass</t>
        </is>
      </c>
      <c r="C2" t="inlineStr">
        <is>
          <t>All 71 rows: qty × pc wt = gross (± rounding).</t>
        </is>
      </c>
      <c r="D2" t="inlineStr">
        <is>
          <t>bom</t>
        </is>
      </c>
    </row>
    <row r="3">
      <c r="A3" t="inlineStr">
        <is>
          <t>bom.gross_total</t>
        </is>
      </c>
      <c r="B3" t="inlineStr">
        <is>
          <t>pass</t>
        </is>
      </c>
      <c r="C3" t="inlineStr">
        <is>
          <t>Σ part gross × assembly qty 1 = 26121.52; grand total = 26121.53.</t>
        </is>
      </c>
      <c r="D3" t="inlineStr">
        <is>
          <t>bom</t>
        </is>
      </c>
    </row>
    <row r="4">
      <c r="A4" t="inlineStr">
        <is>
          <t>bom.assembly_row</t>
        </is>
      </c>
      <c r="B4" t="inlineStr">
        <is>
          <t>pass</t>
        </is>
      </c>
      <c r="C4" t="inlineStr">
        <is>
          <t>Assembly row 3C2 gross 26121.53 vs grand total 26121.53.</t>
        </is>
      </c>
      <c r="D4" t="inlineStr">
        <is>
          <t>bom</t>
        </is>
      </c>
    </row>
    <row r="5">
      <c r="A5" t="inlineStr">
        <is>
          <t>bom.net_total</t>
        </is>
      </c>
      <c r="B5" t="inlineStr">
        <is>
          <t>warn</t>
        </is>
      </c>
      <c r="C5" t="inlineStr">
        <is>
          <t>Σ part net = 25452.81 (× qty 1 = 25452.81); net total = 25826.95. Tekla net totals often differ; informational.</t>
        </is>
      </c>
      <c r="D5" t="inlineStr">
        <is>
          <t>bom</t>
        </is>
      </c>
    </row>
    <row r="6">
      <c r="A6" t="inlineStr">
        <is>
          <t>bom.crosscheck</t>
        </is>
      </c>
      <c r="B6" t="inlineStr">
        <is>
          <t>pass</t>
        </is>
      </c>
      <c r="C6" t="inlineStr">
        <is>
          <t>find_tables() second parse agrees on every row (section, length, qty, gross, material).</t>
        </is>
      </c>
      <c r="D6" t="inlineStr">
        <is>
          <t>bom</t>
        </is>
      </c>
    </row>
    <row r="7">
      <c r="A7" t="inlineStr">
        <is>
          <t>marks.bom_on_sheet</t>
        </is>
      </c>
      <c r="B7" t="inlineStr">
        <is>
          <t>pass</t>
        </is>
      </c>
      <c r="C7" t="inlineStr">
        <is>
          <t>Every BOM mark appears on the drawing.</t>
        </is>
      </c>
      <c r="D7" t="inlineStr">
        <is>
          <t>bom</t>
        </is>
      </c>
    </row>
    <row r="8">
      <c r="A8" t="inlineStr">
        <is>
          <t>marks.extra</t>
        </is>
      </c>
      <c r="B8" t="inlineStr">
        <is>
          <t>pass</t>
        </is>
      </c>
      <c r="C8" t="inlineStr">
        <is>
          <t>Marks on sheet not in BOM (connected/referenced assemblies): ['3C1', '3FR3']</t>
        </is>
      </c>
      <c r="D8" t="inlineStr">
        <is>
          <t>views</t>
        </is>
      </c>
    </row>
    <row r="9">
      <c r="A9" t="inlineStr">
        <is>
          <t>title.weight</t>
        </is>
      </c>
      <c r="B9" t="inlineStr">
        <is>
          <t>pass</t>
        </is>
      </c>
      <c r="C9" t="inlineStr">
        <is>
          <t>Title block weight 26121.53 vs BOM gross 26121.53.</t>
        </is>
      </c>
      <c r="D9" t="inlineStr">
        <is>
          <t>title_block</t>
        </is>
      </c>
    </row>
    <row r="10">
      <c r="A10" t="inlineStr">
        <is>
          <t>mark_location.assembly</t>
        </is>
      </c>
      <c r="B10" t="inlineStr">
        <is>
          <t>pass</t>
        </is>
      </c>
      <c r="C10" t="inlineStr">
        <is>
          <t>Mark box ['3C2'] vs BOM assembly '3C2'.</t>
        </is>
      </c>
      <c r="D10" t="inlineStr">
        <is>
          <t>bom</t>
        </is>
      </c>
    </row>
    <row r="11">
      <c r="A11" t="inlineStr">
        <is>
          <t>mark_location.count</t>
        </is>
      </c>
      <c r="B11" t="inlineStr">
        <is>
          <t>pass</t>
        </is>
      </c>
      <c r="C11" t="inlineStr">
        <is>
          <t>1 erection location(s) listed; assembly qty 1.</t>
        </is>
      </c>
      <c r="D11" t="inlineStr">
        <is>
          <t>bom</t>
        </is>
      </c>
    </row>
    <row r="12">
      <c r="A12" t="inlineStr">
        <is>
          <t>abstract.total</t>
        </is>
      </c>
      <c r="B12" t="inlineStr">
        <is>
          <t>pass</t>
        </is>
      </c>
      <c r="C12" t="inlineStr">
        <is>
          <t>Σ abstract = 26121.55; abstract total = 26121.53; BOM gross = 26121.53.</t>
        </is>
      </c>
      <c r="D12" t="inlineStr">
        <is>
          <t>abstract</t>
        </is>
      </c>
    </row>
    <row r="13">
      <c r="A13" t="inlineStr">
        <is>
          <t>abstract.by_section</t>
        </is>
      </c>
      <c r="B13" t="inlineStr">
        <is>
          <t>pass</t>
        </is>
      </c>
      <c r="C13" t="inlineStr">
        <is>
          <t>Every abstract row equals the BOM gross for that section/plate thickness.</t>
        </is>
      </c>
      <c r="D13" t="inlineStr">
        <is>
          <t>bom</t>
        </is>
      </c>
    </row>
    <row r="14">
      <c r="A14" t="inlineStr">
        <is>
          <t>title.drawing_no</t>
        </is>
      </c>
      <c r="B14" t="inlineStr">
        <is>
          <t>pass</t>
        </is>
      </c>
      <c r="C14" t="inlineStr">
        <is>
          <t>Drawing no. TST-SFD-46-01-01-07-000-14281 matches file name.</t>
        </is>
      </c>
      <c r="D14" t="inlineStr">
        <is>
          <t>title_block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value</t>
        </is>
      </c>
    </row>
    <row r="2">
      <c r="A2" t="inlineStr">
        <is>
          <t>Assembly</t>
        </is>
      </c>
      <c r="B2" t="inlineStr">
        <is>
          <t>3C2 x 1</t>
        </is>
      </c>
    </row>
    <row r="3">
      <c r="A3" t="inlineStr">
        <is>
          <t>Total steel (kg, BOM gross x qty)</t>
        </is>
      </c>
      <c r="B3" t="n">
        <v>26121.53</v>
      </c>
    </row>
    <row r="4">
      <c r="A4" t="inlineStr">
        <is>
          <t>Plates (kg)</t>
        </is>
      </c>
      <c r="B4" t="n">
        <v>24607.19</v>
      </c>
    </row>
    <row r="5">
      <c r="A5" t="inlineStr">
        <is>
          <t>Sections (kg)</t>
        </is>
      </c>
      <c r="B5" t="n">
        <v>1514.33</v>
      </c>
    </row>
    <row r="6">
      <c r="A6" t="inlineStr">
        <is>
          <t>Paint area (m2)</t>
        </is>
      </c>
      <c r="B6" t="n">
        <v>254.57</v>
      </c>
    </row>
    <row r="7">
      <c r="A7" t="inlineStr">
        <is>
          <t>Weld metal (kg, model-read estimate, unverified)</t>
        </is>
      </c>
      <c r="B7" t="n">
        <v>22.69</v>
      </c>
    </row>
    <row r="8">
      <c r="A8" t="inlineStr">
        <is>
          <t>Electrode (kg, model-read estimate, unverified)</t>
        </is>
      </c>
      <c r="B8" t="n">
        <v>37.82</v>
      </c>
    </row>
    <row r="9">
      <c r="A9" t="inlineStr">
        <is>
          <t>OpenAI model</t>
        </is>
      </c>
      <c r="B9" t="inlineStr">
        <is>
          <t>gpt-5.4-mini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thickness_mm</t>
        </is>
      </c>
      <c r="B1" t="inlineStr">
        <is>
          <t>grade</t>
        </is>
      </c>
      <c r="C1" t="inlineStr">
        <is>
          <t>pieces</t>
        </is>
      </c>
      <c r="D1" t="inlineStr">
        <is>
          <t>area_m2</t>
        </is>
      </c>
      <c r="E1" t="inlineStr">
        <is>
          <t>weight_kg</t>
        </is>
      </c>
      <c r="F1" t="inlineStr">
        <is>
          <t>sources</t>
        </is>
      </c>
    </row>
    <row r="2">
      <c r="A2" t="n">
        <v>10</v>
      </c>
      <c r="B2" t="inlineStr">
        <is>
          <t>E350A</t>
        </is>
      </c>
      <c r="C2" t="n">
        <v>17</v>
      </c>
      <c r="D2" t="n">
        <v>6.135</v>
      </c>
      <c r="E2" t="n">
        <v>481.61</v>
      </c>
      <c r="F2" t="inlineStr">
        <is>
          <t>3m503 (WH 468x10), 3m504 (WH 360x10), 3p32, 3p37, 3p439, 3p463, 3p618, 3p624</t>
        </is>
      </c>
    </row>
    <row r="3">
      <c r="A3" t="n">
        <v>12</v>
      </c>
      <c r="B3" t="inlineStr">
        <is>
          <t>E350A</t>
        </is>
      </c>
      <c r="C3" t="n">
        <v>19</v>
      </c>
      <c r="D3" t="n">
        <v>2.191</v>
      </c>
      <c r="E3" t="n">
        <v>206.44</v>
      </c>
      <c r="F3" t="inlineStr">
        <is>
          <t>3p437, 3p567, 3p586, 3p615, 3p626, 3p631</t>
        </is>
      </c>
    </row>
    <row r="4">
      <c r="A4" t="n">
        <v>14</v>
      </c>
      <c r="B4" t="inlineStr">
        <is>
          <t>E350A</t>
        </is>
      </c>
      <c r="C4" t="n">
        <v>24</v>
      </c>
      <c r="D4" t="n">
        <v>6.281</v>
      </c>
      <c r="E4" t="n">
        <v>690.38</v>
      </c>
      <c r="F4" t="inlineStr">
        <is>
          <t>3p307, 3p530, 3p741</t>
        </is>
      </c>
    </row>
    <row r="5">
      <c r="A5" t="n">
        <v>16</v>
      </c>
      <c r="B5" t="inlineStr">
        <is>
          <t>E350A</t>
        </is>
      </c>
      <c r="C5" t="n">
        <v>31</v>
      </c>
      <c r="D5" t="n">
        <v>10.082</v>
      </c>
      <c r="E5" t="n">
        <v>1266.28</v>
      </c>
      <c r="F5" t="inlineStr">
        <is>
          <t>3m503 (WH 300x16), 3p283, 3p308, 3p332, 3p333, 3p334, 3p465, 3p525, 3p569</t>
        </is>
      </c>
    </row>
    <row r="6">
      <c r="A6" t="n">
        <v>20</v>
      </c>
      <c r="B6" t="inlineStr">
        <is>
          <t>E350A</t>
        </is>
      </c>
      <c r="C6" t="n">
        <v>46</v>
      </c>
      <c r="D6" t="n">
        <v>17.684</v>
      </c>
      <c r="E6" t="n">
        <v>2776.08</v>
      </c>
      <c r="F6" t="inlineStr">
        <is>
          <t>3m504 (WH 500x20), 3p33, 3p34, 3p36, 3p309, 3p436, 3p438, 3p440, 3p441, 3p511, 3p518, 3p531, 3p616, 3p617, 3p620</t>
        </is>
      </c>
    </row>
    <row r="7">
      <c r="A7" t="n">
        <v>25</v>
      </c>
      <c r="B7" t="inlineStr">
        <is>
          <t>E350BR</t>
        </is>
      </c>
      <c r="C7" t="n">
        <v>34</v>
      </c>
      <c r="D7" t="n">
        <v>5.178</v>
      </c>
      <c r="E7" t="n">
        <v>1016.12</v>
      </c>
      <c r="F7" t="inlineStr">
        <is>
          <t>3p51, 3p319, 3p464, 3p467, 3p469, 3p471, 3p526, 3p527, 3p528, 3p557, 3p622, 3p623, 3p625, 3p627, 3p628, 3p630</t>
        </is>
      </c>
    </row>
    <row r="8">
      <c r="A8" t="n">
        <v>32</v>
      </c>
      <c r="B8" t="inlineStr">
        <is>
          <t>E350BR</t>
        </is>
      </c>
      <c r="C8" t="n">
        <v>4</v>
      </c>
      <c r="D8" t="n">
        <v>2.4</v>
      </c>
      <c r="E8" t="n">
        <v>602.88</v>
      </c>
      <c r="F8" t="inlineStr">
        <is>
          <t>3p295</t>
        </is>
      </c>
    </row>
    <row r="9">
      <c r="A9" t="n">
        <v>32</v>
      </c>
      <c r="B9" t="inlineStr">
        <is>
          <t>E350BR(UT)</t>
        </is>
      </c>
      <c r="C9" t="n">
        <v>4</v>
      </c>
      <c r="D9" t="n">
        <v>33.049</v>
      </c>
      <c r="E9" t="n">
        <v>8301.889999999999</v>
      </c>
      <c r="F9" t="inlineStr">
        <is>
          <t>3C2 (WH 1120x32), 3m471 (WH 1120x32), 3m496 (WH 1120x32), 3m497 (WH 1120x32)</t>
        </is>
      </c>
    </row>
    <row r="10">
      <c r="A10" t="n">
        <v>40</v>
      </c>
      <c r="B10" t="inlineStr">
        <is>
          <t>E350BR(UT)</t>
        </is>
      </c>
      <c r="C10" t="n">
        <v>8</v>
      </c>
      <c r="D10" t="n">
        <v>29.508</v>
      </c>
      <c r="E10" t="n">
        <v>9265.51</v>
      </c>
      <c r="F10" t="inlineStr">
        <is>
          <t>3C2 (WH 500x40), 3m471 (WH 500x40), 3m496 (WH 500x40), 3m497 (WH 500x40)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profile</t>
        </is>
      </c>
      <c r="B1" t="inlineStr">
        <is>
          <t>family</t>
        </is>
      </c>
      <c r="C1" t="inlineStr">
        <is>
          <t>grade</t>
        </is>
      </c>
      <c r="D1" t="inlineStr">
        <is>
          <t>pieces</t>
        </is>
      </c>
      <c r="E1" t="inlineStr">
        <is>
          <t>total_length_m</t>
        </is>
      </c>
      <c r="F1" t="inlineStr">
        <is>
          <t>weight_kg</t>
        </is>
      </c>
      <c r="G1" t="inlineStr">
        <is>
          <t>sources</t>
        </is>
      </c>
    </row>
    <row r="2">
      <c r="A2" t="inlineStr">
        <is>
          <t>ISA200X200X20</t>
        </is>
      </c>
      <c r="B2" t="inlineStr">
        <is>
          <t>angle</t>
        </is>
      </c>
      <c r="C2" t="inlineStr">
        <is>
          <t>E250A</t>
        </is>
      </c>
      <c r="D2" t="n">
        <v>8</v>
      </c>
      <c r="E2" t="n">
        <v>18.061</v>
      </c>
      <c r="F2" t="n">
        <v>1083.19</v>
      </c>
      <c r="G2" t="inlineStr">
        <is>
          <t>3m505, 3m506, 3m507</t>
        </is>
      </c>
    </row>
    <row r="3">
      <c r="A3" t="inlineStr">
        <is>
          <t>ISA50X50X6</t>
        </is>
      </c>
      <c r="B3" t="inlineStr">
        <is>
          <t>angle</t>
        </is>
      </c>
      <c r="C3" t="inlineStr">
        <is>
          <t>E250A</t>
        </is>
      </c>
      <c r="D3" t="n">
        <v>7</v>
      </c>
      <c r="E3" t="n">
        <v>5.663</v>
      </c>
      <c r="F3" t="n">
        <v>25.25</v>
      </c>
      <c r="G3" t="inlineStr">
        <is>
          <t>3m484</t>
        </is>
      </c>
    </row>
    <row r="4">
      <c r="A4" t="inlineStr">
        <is>
          <t>ISA75X75X8</t>
        </is>
      </c>
      <c r="B4" t="inlineStr">
        <is>
          <t>angle</t>
        </is>
      </c>
      <c r="C4" t="inlineStr">
        <is>
          <t>E250A</t>
        </is>
      </c>
      <c r="D4" t="n">
        <v>20</v>
      </c>
      <c r="E4" t="n">
        <v>24.729</v>
      </c>
      <c r="F4" t="n">
        <v>221.31</v>
      </c>
      <c r="G4" t="inlineStr">
        <is>
          <t>3m517, 3m518, 3m519, 3m520, 3m521</t>
        </is>
      </c>
    </row>
    <row r="5">
      <c r="A5" t="inlineStr">
        <is>
          <t>ISMC150</t>
        </is>
      </c>
      <c r="B5" t="inlineStr">
        <is>
          <t>channel</t>
        </is>
      </c>
      <c r="C5" t="inlineStr">
        <is>
          <t>E250A</t>
        </is>
      </c>
      <c r="D5" t="n">
        <v>8</v>
      </c>
      <c r="E5" t="n">
        <v>11.039</v>
      </c>
      <c r="F5" t="n">
        <v>184.58</v>
      </c>
      <c r="G5" t="inlineStr">
        <is>
          <t>3m766, 3m767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dia_mm</t>
        </is>
      </c>
      <c r="C1" t="inlineStr">
        <is>
          <t>length_mm</t>
        </is>
      </c>
      <c r="D1" t="inlineStr">
        <is>
          <t>type</t>
        </is>
      </c>
      <c r="E1" t="inlineStr">
        <is>
          <t>grade</t>
        </is>
      </c>
      <c r="F1" t="inlineStr">
        <is>
          <t>spec</t>
        </is>
      </c>
      <c r="G1" t="inlineStr">
        <is>
          <t>material</t>
        </is>
      </c>
      <c r="H1" t="inlineStr">
        <is>
          <t>qty</t>
        </is>
      </c>
      <c r="I1" t="inlineStr">
        <is>
          <t>connected_assemblies</t>
        </is>
      </c>
    </row>
    <row r="2">
      <c r="A2" t="inlineStr">
        <is>
          <t>bolt</t>
        </is>
      </c>
      <c r="B2" t="inlineStr">
        <is>
          <t>20</t>
        </is>
      </c>
      <c r="C2" t="inlineStr">
        <is>
          <t>105</t>
        </is>
      </c>
      <c r="D2" t="inlineStr">
        <is>
          <t>HEX</t>
        </is>
      </c>
      <c r="E2" t="inlineStr">
        <is>
          <t>8.8XOX</t>
        </is>
      </c>
      <c r="F2" t="inlineStr">
        <is>
          <t>IS:1364(II)-2023</t>
        </is>
      </c>
      <c r="G2" t="inlineStr">
        <is>
          <t>IS:1367 (I) 2014</t>
        </is>
      </c>
      <c r="H2" t="n">
        <v>8</v>
      </c>
      <c r="I2" t="inlineStr">
        <is>
          <t>3FR3</t>
        </is>
      </c>
    </row>
    <row r="3">
      <c r="A3" t="inlineStr">
        <is>
          <t>bolt</t>
        </is>
      </c>
      <c r="B3" t="inlineStr">
        <is>
          <t>24</t>
        </is>
      </c>
      <c r="C3" t="inlineStr">
        <is>
          <t>150</t>
        </is>
      </c>
      <c r="D3" t="inlineStr">
        <is>
          <t>HEX</t>
        </is>
      </c>
      <c r="E3" t="inlineStr">
        <is>
          <t>10.9XOX</t>
        </is>
      </c>
      <c r="F3" t="inlineStr">
        <is>
          <t>IS:1364(II)-2023</t>
        </is>
      </c>
      <c r="G3" t="inlineStr">
        <is>
          <t>IS:1367 (I) 2014</t>
        </is>
      </c>
      <c r="H3" t="n">
        <v>88</v>
      </c>
      <c r="I3" t="inlineStr">
        <is>
          <t>3C1</t>
        </is>
      </c>
    </row>
    <row r="4">
      <c r="A4" t="inlineStr">
        <is>
          <t>nut</t>
        </is>
      </c>
      <c r="B4" t="inlineStr">
        <is>
          <t>20</t>
        </is>
      </c>
      <c r="C4" t="inlineStr"/>
      <c r="D4" t="inlineStr"/>
      <c r="E4" t="inlineStr">
        <is>
          <t>8.8XOX</t>
        </is>
      </c>
      <c r="F4" t="inlineStr">
        <is>
          <t>IS:1364(III)-2018</t>
        </is>
      </c>
      <c r="G4" t="inlineStr">
        <is>
          <t>IS:1367 (VI) 2025</t>
        </is>
      </c>
      <c r="H4" t="n">
        <v>16</v>
      </c>
      <c r="I4" t="inlineStr">
        <is>
          <t>3FR3</t>
        </is>
      </c>
    </row>
    <row r="5">
      <c r="A5" t="inlineStr">
        <is>
          <t>nut</t>
        </is>
      </c>
      <c r="B5" t="inlineStr">
        <is>
          <t>24</t>
        </is>
      </c>
      <c r="C5" t="inlineStr"/>
      <c r="D5" t="inlineStr"/>
      <c r="E5" t="inlineStr">
        <is>
          <t>10.9XOX</t>
        </is>
      </c>
      <c r="F5" t="inlineStr">
        <is>
          <t>IS:1364(III)-2018</t>
        </is>
      </c>
      <c r="G5" t="inlineStr">
        <is>
          <t>IS:1367 (VI) 2025</t>
        </is>
      </c>
      <c r="H5" t="n">
        <v>176</v>
      </c>
      <c r="I5" t="inlineStr">
        <is>
          <t>3C1</t>
        </is>
      </c>
    </row>
    <row r="6">
      <c r="A6" t="inlineStr">
        <is>
          <t>plain washer</t>
        </is>
      </c>
      <c r="B6" t="inlineStr">
        <is>
          <t>22</t>
        </is>
      </c>
      <c r="C6" t="inlineStr"/>
      <c r="D6" t="inlineStr">
        <is>
          <t>FLAT-E</t>
        </is>
      </c>
      <c r="E6" t="inlineStr"/>
      <c r="F6" t="inlineStr">
        <is>
          <t>IS:2016 - 1967</t>
        </is>
      </c>
      <c r="G6" t="inlineStr">
        <is>
          <t>IS:1570 (II) 1979</t>
        </is>
      </c>
      <c r="H6" t="n">
        <v>8</v>
      </c>
      <c r="I6" t="inlineStr">
        <is>
          <t>3FR3</t>
        </is>
      </c>
    </row>
    <row r="7">
      <c r="A7" t="inlineStr">
        <is>
          <t>plain washer</t>
        </is>
      </c>
      <c r="B7" t="inlineStr">
        <is>
          <t>26</t>
        </is>
      </c>
      <c r="C7" t="inlineStr"/>
      <c r="D7" t="inlineStr">
        <is>
          <t>FLAT-E</t>
        </is>
      </c>
      <c r="E7" t="inlineStr"/>
      <c r="F7" t="inlineStr">
        <is>
          <t>IS:2016 - 1967</t>
        </is>
      </c>
      <c r="G7" t="inlineStr">
        <is>
          <t>IS:1570 (II) 1979</t>
        </is>
      </c>
      <c r="H7" t="n">
        <v>88</v>
      </c>
      <c r="I7" t="inlineStr">
        <is>
          <t>3C1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parts</t>
        </is>
      </c>
      <c r="B1" t="inlineStr">
        <is>
          <t>size_mm</t>
        </is>
      </c>
      <c r="C1" t="inlineStr">
        <is>
          <t>length_mm</t>
        </is>
      </c>
      <c r="D1" t="inlineStr">
        <is>
          <t>count</t>
        </is>
      </c>
      <c r="E1" t="inlineStr">
        <is>
          <t>edge</t>
        </is>
      </c>
      <c r="F1" t="inlineStr">
        <is>
          <t>sides</t>
        </is>
      </c>
      <c r="G1" t="inlineStr">
        <is>
          <t>tack</t>
        </is>
      </c>
      <c r="H1" t="inlineStr">
        <is>
          <t>evidence</t>
        </is>
      </c>
      <c r="I1" t="inlineStr">
        <is>
          <t>total_length_m</t>
        </is>
      </c>
      <c r="J1" t="inlineStr">
        <is>
          <t>weld_metal_kg</t>
        </is>
      </c>
    </row>
    <row r="2">
      <c r="A2" t="inlineStr">
        <is>
          <t>3p295, 3C2</t>
        </is>
      </c>
      <c r="B2" t="n">
        <v>6</v>
      </c>
      <c r="C2" t="n">
        <v>3400</v>
      </c>
      <c r="D2" t="n">
        <v>1</v>
      </c>
      <c r="E2" t="inlineStr">
        <is>
          <t>perimeter</t>
        </is>
      </c>
      <c r="F2" t="n">
        <v>1</v>
      </c>
      <c r="G2" t="b">
        <v>0</v>
      </c>
      <c r="H2" t="inlineStr">
        <is>
          <t>A8 / W-W</t>
        </is>
      </c>
      <c r="I2" t="n">
        <v>3.4</v>
      </c>
      <c r="J2" t="n">
        <v>0.48</v>
      </c>
    </row>
    <row r="3">
      <c r="A3" t="inlineStr">
        <is>
          <t>3p307, 3C2</t>
        </is>
      </c>
      <c r="B3" t="n">
        <v>6</v>
      </c>
      <c r="C3" t="n">
        <v>2240</v>
      </c>
      <c r="D3" t="n">
        <v>20</v>
      </c>
      <c r="E3" t="inlineStr">
        <is>
          <t>length</t>
        </is>
      </c>
      <c r="F3" t="n">
        <v>2</v>
      </c>
      <c r="G3" t="b">
        <v>0</v>
      </c>
      <c r="H3" t="inlineStr">
        <is>
          <t>A15 / B-B, J-J, K-K</t>
        </is>
      </c>
      <c r="I3" t="n">
        <v>44.8</v>
      </c>
      <c r="J3" t="n">
        <v>6.33</v>
      </c>
    </row>
    <row r="4">
      <c r="A4" t="inlineStr">
        <is>
          <t>3p309, 3C2</t>
        </is>
      </c>
      <c r="B4" t="n">
        <v>6</v>
      </c>
      <c r="C4" t="n">
        <v>2232</v>
      </c>
      <c r="D4" t="n">
        <v>16</v>
      </c>
      <c r="E4" t="inlineStr">
        <is>
          <t>length</t>
        </is>
      </c>
      <c r="F4" t="n">
        <v>2</v>
      </c>
      <c r="G4" t="b">
        <v>0</v>
      </c>
      <c r="H4" t="inlineStr">
        <is>
          <t>A15 / B-B, G-G, J-J, K-K</t>
        </is>
      </c>
      <c r="I4" t="n">
        <v>35.712</v>
      </c>
      <c r="J4" t="n">
        <v>5.046</v>
      </c>
    </row>
    <row r="5">
      <c r="A5" t="inlineStr">
        <is>
          <t>3p332, 3C2</t>
        </is>
      </c>
      <c r="B5" t="n">
        <v>6</v>
      </c>
      <c r="C5" t="n">
        <v>474.3</v>
      </c>
      <c r="D5" t="n">
        <v>4</v>
      </c>
      <c r="E5" t="inlineStr">
        <is>
          <t>length</t>
        </is>
      </c>
      <c r="F5" t="n">
        <v>1</v>
      </c>
      <c r="G5" t="b">
        <v>0</v>
      </c>
      <c r="H5" t="inlineStr">
        <is>
          <t>A12 / A-A, B-B</t>
        </is>
      </c>
      <c r="I5" t="n">
        <v>1.897</v>
      </c>
      <c r="J5" t="n">
        <v>0.268</v>
      </c>
    </row>
    <row r="6">
      <c r="A6" t="inlineStr">
        <is>
          <t>3p333, 3C2</t>
        </is>
      </c>
      <c r="B6" t="n">
        <v>6</v>
      </c>
      <c r="C6" t="n">
        <v>1498.4</v>
      </c>
      <c r="D6" t="n">
        <v>2</v>
      </c>
      <c r="E6" t="inlineStr">
        <is>
          <t>length</t>
        </is>
      </c>
      <c r="F6" t="n">
        <v>1</v>
      </c>
      <c r="G6" t="b">
        <v>0</v>
      </c>
      <c r="H6" t="inlineStr">
        <is>
          <t>A12 / B-B, J-J</t>
        </is>
      </c>
      <c r="I6" t="n">
        <v>2.997</v>
      </c>
      <c r="J6" t="n">
        <v>0.423</v>
      </c>
    </row>
    <row r="7">
      <c r="A7" t="inlineStr">
        <is>
          <t>3p334, 3C2</t>
        </is>
      </c>
      <c r="B7" t="n">
        <v>6</v>
      </c>
      <c r="C7" t="n">
        <v>671.6</v>
      </c>
      <c r="D7" t="n">
        <v>2</v>
      </c>
      <c r="E7" t="inlineStr">
        <is>
          <t>length</t>
        </is>
      </c>
      <c r="F7" t="n">
        <v>1</v>
      </c>
      <c r="G7" t="b">
        <v>0</v>
      </c>
      <c r="H7" t="inlineStr">
        <is>
          <t>A13 / B-B, F-F</t>
        </is>
      </c>
      <c r="I7" t="n">
        <v>1.343</v>
      </c>
      <c r="J7" t="n">
        <v>0.19</v>
      </c>
    </row>
    <row r="8">
      <c r="A8" t="inlineStr">
        <is>
          <t>3p436, 3C2</t>
        </is>
      </c>
      <c r="B8" t="n">
        <v>6</v>
      </c>
      <c r="C8" t="n">
        <v>447</v>
      </c>
      <c r="D8" t="n">
        <v>2</v>
      </c>
      <c r="E8" t="inlineStr">
        <is>
          <t>length</t>
        </is>
      </c>
      <c r="F8" t="n">
        <v>1</v>
      </c>
      <c r="G8" t="b">
        <v>0</v>
      </c>
      <c r="H8" t="inlineStr">
        <is>
          <t>F-F / J-J</t>
        </is>
      </c>
      <c r="I8" t="n">
        <v>0.894</v>
      </c>
      <c r="J8" t="n">
        <v>0.126</v>
      </c>
    </row>
    <row r="9">
      <c r="A9" t="inlineStr">
        <is>
          <t>3p437, 3C2</t>
        </is>
      </c>
      <c r="B9" t="n">
        <v>6</v>
      </c>
      <c r="C9" t="n">
        <v>447</v>
      </c>
      <c r="D9" t="n">
        <v>2</v>
      </c>
      <c r="E9" t="inlineStr">
        <is>
          <t>length</t>
        </is>
      </c>
      <c r="F9" t="n">
        <v>1</v>
      </c>
      <c r="G9" t="b">
        <v>0</v>
      </c>
      <c r="H9" t="inlineStr">
        <is>
          <t>F-F / J-J</t>
        </is>
      </c>
      <c r="I9" t="n">
        <v>0.894</v>
      </c>
      <c r="J9" t="n">
        <v>0.126</v>
      </c>
    </row>
    <row r="10">
      <c r="A10" t="inlineStr">
        <is>
          <t>3p438, 3C2</t>
        </is>
      </c>
      <c r="B10" t="n">
        <v>6</v>
      </c>
      <c r="C10" t="n">
        <v>255</v>
      </c>
      <c r="D10" t="n">
        <v>2</v>
      </c>
      <c r="E10" t="inlineStr">
        <is>
          <t>length</t>
        </is>
      </c>
      <c r="F10" t="n">
        <v>1</v>
      </c>
      <c r="G10" t="b">
        <v>0</v>
      </c>
      <c r="H10" t="inlineStr">
        <is>
          <t>F-F / D-D</t>
        </is>
      </c>
      <c r="I10" t="n">
        <v>0.51</v>
      </c>
      <c r="J10" t="n">
        <v>0.07199999999999999</v>
      </c>
    </row>
    <row r="11">
      <c r="A11" t="inlineStr">
        <is>
          <t>3p439, 3C2</t>
        </is>
      </c>
      <c r="B11" t="n">
        <v>6</v>
      </c>
      <c r="C11" t="n">
        <v>480</v>
      </c>
      <c r="D11" t="n">
        <v>2</v>
      </c>
      <c r="E11" t="inlineStr">
        <is>
          <t>length</t>
        </is>
      </c>
      <c r="F11" t="n">
        <v>1</v>
      </c>
      <c r="G11" t="b">
        <v>0</v>
      </c>
      <c r="H11" t="inlineStr">
        <is>
          <t>F-F / D-D</t>
        </is>
      </c>
      <c r="I11" t="n">
        <v>0.96</v>
      </c>
      <c r="J11" t="n">
        <v>0.136</v>
      </c>
    </row>
    <row r="12">
      <c r="A12" t="inlineStr">
        <is>
          <t>3p440, 3C2</t>
        </is>
      </c>
      <c r="B12" t="n">
        <v>6</v>
      </c>
      <c r="C12" t="n">
        <v>488</v>
      </c>
      <c r="D12" t="n">
        <v>1</v>
      </c>
      <c r="E12" t="inlineStr">
        <is>
          <t>length</t>
        </is>
      </c>
      <c r="F12" t="n">
        <v>1</v>
      </c>
      <c r="G12" t="b">
        <v>0</v>
      </c>
      <c r="H12" t="inlineStr">
        <is>
          <t>F-F / D-D</t>
        </is>
      </c>
      <c r="I12" t="n">
        <v>0.488</v>
      </c>
      <c r="J12" t="n">
        <v>0.06900000000000001</v>
      </c>
    </row>
    <row r="13">
      <c r="A13" t="inlineStr">
        <is>
          <t>3p441, 3C2</t>
        </is>
      </c>
      <c r="B13" t="n">
        <v>6</v>
      </c>
      <c r="C13" t="n">
        <v>488</v>
      </c>
      <c r="D13" t="n">
        <v>1</v>
      </c>
      <c r="E13" t="inlineStr">
        <is>
          <t>length</t>
        </is>
      </c>
      <c r="F13" t="n">
        <v>1</v>
      </c>
      <c r="G13" t="b">
        <v>0</v>
      </c>
      <c r="H13" t="inlineStr">
        <is>
          <t>F-F / D-D</t>
        </is>
      </c>
      <c r="I13" t="n">
        <v>0.488</v>
      </c>
      <c r="J13" t="n">
        <v>0.06900000000000001</v>
      </c>
    </row>
    <row r="14">
      <c r="A14" t="inlineStr">
        <is>
          <t>3p463, 3C2</t>
        </is>
      </c>
      <c r="B14" t="n">
        <v>6</v>
      </c>
      <c r="C14" t="n">
        <v>471</v>
      </c>
      <c r="D14" t="n">
        <v>2</v>
      </c>
      <c r="E14" t="inlineStr">
        <is>
          <t>length</t>
        </is>
      </c>
      <c r="F14" t="n">
        <v>1</v>
      </c>
      <c r="G14" t="b">
        <v>0</v>
      </c>
      <c r="H14" t="inlineStr">
        <is>
          <t>A13 / A-A, Q-Q</t>
        </is>
      </c>
      <c r="I14" t="n">
        <v>0.9419999999999999</v>
      </c>
      <c r="J14" t="n">
        <v>0.133</v>
      </c>
    </row>
    <row r="15">
      <c r="A15" t="inlineStr">
        <is>
          <t>3p464, 3C2</t>
        </is>
      </c>
      <c r="B15" t="n">
        <v>6</v>
      </c>
      <c r="C15" t="n">
        <v>1018</v>
      </c>
      <c r="D15" t="n">
        <v>2</v>
      </c>
      <c r="E15" t="inlineStr">
        <is>
          <t>perimeter</t>
        </is>
      </c>
      <c r="F15" t="n">
        <v>1</v>
      </c>
      <c r="G15" t="b">
        <v>0</v>
      </c>
      <c r="H15" t="inlineStr">
        <is>
          <t>A13 / A-A, X-X</t>
        </is>
      </c>
      <c r="I15" t="n">
        <v>2.036</v>
      </c>
      <c r="J15" t="n">
        <v>0.288</v>
      </c>
    </row>
    <row r="16">
      <c r="A16" t="inlineStr">
        <is>
          <t>3p465, 3C2</t>
        </is>
      </c>
      <c r="B16" t="n">
        <v>6</v>
      </c>
      <c r="C16" t="n">
        <v>1268</v>
      </c>
      <c r="D16" t="n">
        <v>2</v>
      </c>
      <c r="E16" t="inlineStr">
        <is>
          <t>perimeter</t>
        </is>
      </c>
      <c r="F16" t="n">
        <v>1</v>
      </c>
      <c r="G16" t="b">
        <v>0</v>
      </c>
      <c r="H16" t="inlineStr">
        <is>
          <t>A13 / A-A, N-N</t>
        </is>
      </c>
      <c r="I16" t="n">
        <v>2.536</v>
      </c>
      <c r="J16" t="n">
        <v>0.358</v>
      </c>
    </row>
    <row r="17">
      <c r="A17" t="inlineStr">
        <is>
          <t>3p467, 3C2</t>
        </is>
      </c>
      <c r="B17" t="n">
        <v>6</v>
      </c>
      <c r="C17" t="n">
        <v>1270</v>
      </c>
      <c r="D17" t="n">
        <v>1</v>
      </c>
      <c r="E17" t="inlineStr">
        <is>
          <t>perimeter</t>
        </is>
      </c>
      <c r="F17" t="n">
        <v>1</v>
      </c>
      <c r="G17" t="b">
        <v>0</v>
      </c>
      <c r="H17" t="inlineStr">
        <is>
          <t>A13 / A-A, Q-Q</t>
        </is>
      </c>
      <c r="I17" t="n">
        <v>1.27</v>
      </c>
      <c r="J17" t="n">
        <v>0.179</v>
      </c>
    </row>
    <row r="18">
      <c r="A18" t="inlineStr">
        <is>
          <t>3p469, 3C2</t>
        </is>
      </c>
      <c r="B18" t="n">
        <v>6</v>
      </c>
      <c r="C18" t="n">
        <v>1502</v>
      </c>
      <c r="D18" t="n">
        <v>2</v>
      </c>
      <c r="E18" t="inlineStr">
        <is>
          <t>perimeter</t>
        </is>
      </c>
      <c r="F18" t="n">
        <v>1</v>
      </c>
      <c r="G18" t="b">
        <v>0</v>
      </c>
      <c r="H18" t="inlineStr">
        <is>
          <t>A13 / A-A, X-X, N-N</t>
        </is>
      </c>
      <c r="I18" t="n">
        <v>3.004</v>
      </c>
      <c r="J18" t="n">
        <v>0.424</v>
      </c>
    </row>
    <row r="19">
      <c r="A19" t="inlineStr">
        <is>
          <t>3p471, 3C2</t>
        </is>
      </c>
      <c r="B19" t="n">
        <v>6</v>
      </c>
      <c r="C19" t="n">
        <v>1270</v>
      </c>
      <c r="D19" t="n">
        <v>1</v>
      </c>
      <c r="E19" t="inlineStr">
        <is>
          <t>perimeter</t>
        </is>
      </c>
      <c r="F19" t="n">
        <v>1</v>
      </c>
      <c r="G19" t="b">
        <v>0</v>
      </c>
      <c r="H19" t="inlineStr">
        <is>
          <t>A13 / A-A, X-X</t>
        </is>
      </c>
      <c r="I19" t="n">
        <v>1.27</v>
      </c>
      <c r="J19" t="n">
        <v>0.179</v>
      </c>
    </row>
    <row r="20">
      <c r="A20" t="inlineStr">
        <is>
          <t>3p511, 3C2</t>
        </is>
      </c>
      <c r="B20" t="n">
        <v>6</v>
      </c>
      <c r="C20" t="n">
        <v>2211</v>
      </c>
      <c r="D20" t="n">
        <v>1</v>
      </c>
      <c r="E20" t="inlineStr">
        <is>
          <t>length</t>
        </is>
      </c>
      <c r="F20" t="n">
        <v>2</v>
      </c>
      <c r="G20" t="b">
        <v>0</v>
      </c>
      <c r="H20" t="inlineStr">
        <is>
          <t>A14 / G-G</t>
        </is>
      </c>
      <c r="I20" t="n">
        <v>2.211</v>
      </c>
      <c r="J20" t="n">
        <v>0.312</v>
      </c>
    </row>
    <row r="21">
      <c r="A21" t="inlineStr">
        <is>
          <t>3p518, 3C2</t>
        </is>
      </c>
      <c r="B21" t="n">
        <v>6</v>
      </c>
      <c r="C21" t="n">
        <v>2211</v>
      </c>
      <c r="D21" t="n">
        <v>1</v>
      </c>
      <c r="E21" t="inlineStr">
        <is>
          <t>length</t>
        </is>
      </c>
      <c r="F21" t="n">
        <v>2</v>
      </c>
      <c r="G21" t="b">
        <v>0</v>
      </c>
      <c r="H21" t="inlineStr">
        <is>
          <t>A14 / G-G</t>
        </is>
      </c>
      <c r="I21" t="n">
        <v>2.211</v>
      </c>
      <c r="J21" t="n">
        <v>0.312</v>
      </c>
    </row>
    <row r="22">
      <c r="A22" t="inlineStr">
        <is>
          <t>3p525, 3C2</t>
        </is>
      </c>
      <c r="B22" t="n">
        <v>6</v>
      </c>
      <c r="C22" t="n">
        <v>475</v>
      </c>
      <c r="D22" t="n">
        <v>2</v>
      </c>
      <c r="E22" t="inlineStr">
        <is>
          <t>length</t>
        </is>
      </c>
      <c r="F22" t="n">
        <v>1</v>
      </c>
      <c r="G22" t="b">
        <v>0</v>
      </c>
      <c r="H22" t="inlineStr">
        <is>
          <t>A14 / G-G, M-M</t>
        </is>
      </c>
      <c r="I22" t="n">
        <v>0.95</v>
      </c>
      <c r="J22" t="n">
        <v>0.134</v>
      </c>
    </row>
    <row r="23">
      <c r="A23" t="inlineStr">
        <is>
          <t>3p526, 3C2</t>
        </is>
      </c>
      <c r="B23" t="n">
        <v>6</v>
      </c>
      <c r="C23" t="n">
        <v>485</v>
      </c>
      <c r="D23" t="n">
        <v>1</v>
      </c>
      <c r="E23" t="inlineStr">
        <is>
          <t>length</t>
        </is>
      </c>
      <c r="F23" t="n">
        <v>1</v>
      </c>
      <c r="G23" t="b">
        <v>0</v>
      </c>
      <c r="H23" t="inlineStr">
        <is>
          <t>A14 / G-G, L-L</t>
        </is>
      </c>
      <c r="I23" t="n">
        <v>0.485</v>
      </c>
      <c r="J23" t="n">
        <v>0.06900000000000001</v>
      </c>
    </row>
    <row r="24">
      <c r="A24" t="inlineStr">
        <is>
          <t>3p527, 3C2</t>
        </is>
      </c>
      <c r="B24" t="n">
        <v>6</v>
      </c>
      <c r="C24" t="n">
        <v>1142</v>
      </c>
      <c r="D24" t="n">
        <v>2</v>
      </c>
      <c r="E24" t="inlineStr">
        <is>
          <t>length</t>
        </is>
      </c>
      <c r="F24" t="n">
        <v>2</v>
      </c>
      <c r="G24" t="b">
        <v>0</v>
      </c>
      <c r="H24" t="inlineStr">
        <is>
          <t>A14 / G-G, H-H, M-M</t>
        </is>
      </c>
      <c r="I24" t="n">
        <v>2.284</v>
      </c>
      <c r="J24" t="n">
        <v>0.323</v>
      </c>
    </row>
    <row r="25">
      <c r="A25" t="inlineStr">
        <is>
          <t>3p528, 3C2</t>
        </is>
      </c>
      <c r="B25" t="n">
        <v>6</v>
      </c>
      <c r="C25" t="n">
        <v>485</v>
      </c>
      <c r="D25" t="n">
        <v>1</v>
      </c>
      <c r="E25" t="inlineStr">
        <is>
          <t>length</t>
        </is>
      </c>
      <c r="F25" t="n">
        <v>1</v>
      </c>
      <c r="G25" t="b">
        <v>0</v>
      </c>
      <c r="H25" t="inlineStr">
        <is>
          <t>A14 / G-G, H-H</t>
        </is>
      </c>
      <c r="I25" t="n">
        <v>0.485</v>
      </c>
      <c r="J25" t="n">
        <v>0.06900000000000001</v>
      </c>
    </row>
    <row r="26">
      <c r="A26" t="inlineStr">
        <is>
          <t>3p530, 3C2</t>
        </is>
      </c>
      <c r="B26" t="n">
        <v>6</v>
      </c>
      <c r="C26" t="n">
        <v>517.2</v>
      </c>
      <c r="D26" t="n">
        <v>2</v>
      </c>
      <c r="E26" t="inlineStr">
        <is>
          <t>length</t>
        </is>
      </c>
      <c r="F26" t="n">
        <v>1</v>
      </c>
      <c r="G26" t="b">
        <v>0</v>
      </c>
      <c r="H26" t="inlineStr">
        <is>
          <t>A14 / G-G</t>
        </is>
      </c>
      <c r="I26" t="n">
        <v>1.034</v>
      </c>
      <c r="J26" t="n">
        <v>0.146</v>
      </c>
    </row>
    <row r="27">
      <c r="A27" t="inlineStr">
        <is>
          <t>3p531, 3C2</t>
        </is>
      </c>
      <c r="B27" t="n">
        <v>6</v>
      </c>
      <c r="C27" t="n">
        <v>630</v>
      </c>
      <c r="D27" t="n">
        <v>2</v>
      </c>
      <c r="E27" t="inlineStr">
        <is>
          <t>length</t>
        </is>
      </c>
      <c r="F27" t="n">
        <v>1</v>
      </c>
      <c r="G27" t="b">
        <v>0</v>
      </c>
      <c r="H27" t="inlineStr">
        <is>
          <t>A14 / G-G, W-W</t>
        </is>
      </c>
      <c r="I27" t="n">
        <v>1.26</v>
      </c>
      <c r="J27" t="n">
        <v>0.178</v>
      </c>
    </row>
    <row r="28">
      <c r="A28" t="inlineStr">
        <is>
          <t>3p557, 3C2</t>
        </is>
      </c>
      <c r="B28" t="n">
        <v>6</v>
      </c>
      <c r="C28" t="n">
        <v>2240</v>
      </c>
      <c r="D28" t="n">
        <v>8</v>
      </c>
      <c r="E28" t="inlineStr">
        <is>
          <t>length</t>
        </is>
      </c>
      <c r="F28" t="n">
        <v>2</v>
      </c>
      <c r="G28" t="b">
        <v>0</v>
      </c>
      <c r="H28" t="inlineStr">
        <is>
          <t>A8 / B-B, J-J, R-R</t>
        </is>
      </c>
      <c r="I28" t="n">
        <v>17.92</v>
      </c>
      <c r="J28" t="n">
        <v>2.532</v>
      </c>
    </row>
    <row r="29">
      <c r="A29" t="inlineStr">
        <is>
          <t>3p567, 3C2</t>
        </is>
      </c>
      <c r="B29" t="n">
        <v>6</v>
      </c>
      <c r="C29" t="n">
        <v>631</v>
      </c>
      <c r="D29" t="n">
        <v>7</v>
      </c>
      <c r="E29" t="inlineStr">
        <is>
          <t>length</t>
        </is>
      </c>
      <c r="F29" t="n">
        <v>1</v>
      </c>
      <c r="G29" t="b">
        <v>0</v>
      </c>
      <c r="H29" t="inlineStr">
        <is>
          <t>A12 / B-B, E-E, G-G</t>
        </is>
      </c>
      <c r="I29" t="n">
        <v>4.417</v>
      </c>
      <c r="J29" t="n">
        <v>0.624</v>
      </c>
    </row>
    <row r="30">
      <c r="A30" t="inlineStr">
        <is>
          <t>3p569, 3C2</t>
        </is>
      </c>
      <c r="B30" t="n">
        <v>6</v>
      </c>
      <c r="C30" t="n">
        <v>629</v>
      </c>
      <c r="D30" t="n">
        <v>11</v>
      </c>
      <c r="E30" t="inlineStr">
        <is>
          <t>length</t>
        </is>
      </c>
      <c r="F30" t="n">
        <v>1</v>
      </c>
      <c r="G30" t="b">
        <v>0</v>
      </c>
      <c r="H30" t="inlineStr">
        <is>
          <t>A12 / B-B, D-D, E-E, G-G</t>
        </is>
      </c>
      <c r="I30" t="n">
        <v>6.919</v>
      </c>
      <c r="J30" t="n">
        <v>0.978</v>
      </c>
    </row>
    <row r="31">
      <c r="A31" t="inlineStr">
        <is>
          <t>3p586, 3C2</t>
        </is>
      </c>
      <c r="B31" t="n">
        <v>6</v>
      </c>
      <c r="C31" t="n">
        <v>631</v>
      </c>
      <c r="D31" t="n">
        <v>4</v>
      </c>
      <c r="E31" t="inlineStr">
        <is>
          <t>length</t>
        </is>
      </c>
      <c r="F31" t="n">
        <v>1</v>
      </c>
      <c r="G31" t="b">
        <v>0</v>
      </c>
      <c r="H31" t="inlineStr">
        <is>
          <t>A14 / G-G</t>
        </is>
      </c>
      <c r="I31" t="n">
        <v>2.524</v>
      </c>
      <c r="J31" t="n">
        <v>0.357</v>
      </c>
    </row>
    <row r="32">
      <c r="A32" t="inlineStr">
        <is>
          <t>3p615, 3C2</t>
        </is>
      </c>
      <c r="B32" t="n">
        <v>6</v>
      </c>
      <c r="C32" t="n">
        <v>561</v>
      </c>
      <c r="D32" t="n">
        <v>2</v>
      </c>
      <c r="E32" t="inlineStr">
        <is>
          <t>length</t>
        </is>
      </c>
      <c r="F32" t="n">
        <v>1</v>
      </c>
      <c r="G32" t="b">
        <v>0</v>
      </c>
      <c r="H32" t="inlineStr">
        <is>
          <t>J-J / K-K, T-T</t>
        </is>
      </c>
      <c r="I32" t="n">
        <v>1.122</v>
      </c>
      <c r="J32" t="n">
        <v>0.159</v>
      </c>
    </row>
    <row r="33">
      <c r="A33" t="inlineStr">
        <is>
          <t>3p616, 3C2</t>
        </is>
      </c>
      <c r="B33" t="n">
        <v>6</v>
      </c>
      <c r="C33" t="n">
        <v>411</v>
      </c>
      <c r="D33" t="n">
        <v>2</v>
      </c>
      <c r="E33" t="inlineStr">
        <is>
          <t>length</t>
        </is>
      </c>
      <c r="F33" t="n">
        <v>1</v>
      </c>
      <c r="G33" t="b">
        <v>0</v>
      </c>
      <c r="H33" t="inlineStr">
        <is>
          <t>J-J / O-O</t>
        </is>
      </c>
      <c r="I33" t="n">
        <v>0.822</v>
      </c>
      <c r="J33" t="n">
        <v>0.116</v>
      </c>
    </row>
    <row r="34">
      <c r="A34" t="inlineStr">
        <is>
          <t>3p617, 3C2</t>
        </is>
      </c>
      <c r="B34" t="n">
        <v>6</v>
      </c>
      <c r="C34" t="n">
        <v>229</v>
      </c>
      <c r="D34" t="n">
        <v>2</v>
      </c>
      <c r="E34" t="inlineStr">
        <is>
          <t>length</t>
        </is>
      </c>
      <c r="F34" t="n">
        <v>1</v>
      </c>
      <c r="G34" t="b">
        <v>0</v>
      </c>
      <c r="H34" t="inlineStr">
        <is>
          <t>J-J / O-O</t>
        </is>
      </c>
      <c r="I34" t="n">
        <v>0.458</v>
      </c>
      <c r="J34" t="n">
        <v>0.065</v>
      </c>
    </row>
    <row r="35">
      <c r="A35" t="inlineStr">
        <is>
          <t>3p618, 3C2</t>
        </is>
      </c>
      <c r="B35" t="n">
        <v>6</v>
      </c>
      <c r="C35" t="n">
        <v>380</v>
      </c>
      <c r="D35" t="n">
        <v>2</v>
      </c>
      <c r="E35" t="inlineStr">
        <is>
          <t>length</t>
        </is>
      </c>
      <c r="F35" t="n">
        <v>1</v>
      </c>
      <c r="G35" t="b">
        <v>0</v>
      </c>
      <c r="H35" t="inlineStr">
        <is>
          <t>J-J / O-O</t>
        </is>
      </c>
      <c r="I35" t="n">
        <v>0.76</v>
      </c>
      <c r="J35" t="n">
        <v>0.107</v>
      </c>
    </row>
    <row r="36">
      <c r="A36" t="inlineStr">
        <is>
          <t>3p620, 3C2</t>
        </is>
      </c>
      <c r="B36" t="n">
        <v>6</v>
      </c>
      <c r="C36" t="n">
        <v>390</v>
      </c>
      <c r="D36" t="n">
        <v>2</v>
      </c>
      <c r="E36" t="inlineStr">
        <is>
          <t>length</t>
        </is>
      </c>
      <c r="F36" t="n">
        <v>1</v>
      </c>
      <c r="G36" t="b">
        <v>0</v>
      </c>
      <c r="H36" t="inlineStr">
        <is>
          <t>J-J / O-O</t>
        </is>
      </c>
      <c r="I36" t="n">
        <v>0.78</v>
      </c>
      <c r="J36" t="n">
        <v>0.11</v>
      </c>
    </row>
    <row r="37">
      <c r="A37" t="inlineStr">
        <is>
          <t>3p622, 3C2</t>
        </is>
      </c>
      <c r="B37" t="n">
        <v>6</v>
      </c>
      <c r="C37" t="n">
        <v>548</v>
      </c>
      <c r="D37" t="n">
        <v>2</v>
      </c>
      <c r="E37" t="inlineStr">
        <is>
          <t>length</t>
        </is>
      </c>
      <c r="F37" t="n">
        <v>1</v>
      </c>
      <c r="G37" t="b">
        <v>0</v>
      </c>
      <c r="H37" t="inlineStr">
        <is>
          <t>K-K / L-L</t>
        </is>
      </c>
      <c r="I37" t="n">
        <v>1.096</v>
      </c>
      <c r="J37" t="n">
        <v>0.155</v>
      </c>
    </row>
    <row r="38">
      <c r="A38" t="inlineStr">
        <is>
          <t>3p623, 3C2</t>
        </is>
      </c>
      <c r="B38" t="n">
        <v>6</v>
      </c>
      <c r="C38" t="n">
        <v>350</v>
      </c>
      <c r="D38" t="n">
        <v>2</v>
      </c>
      <c r="E38" t="inlineStr">
        <is>
          <t>length</t>
        </is>
      </c>
      <c r="F38" t="n">
        <v>1</v>
      </c>
      <c r="G38" t="b">
        <v>0</v>
      </c>
      <c r="H38" t="inlineStr">
        <is>
          <t>K-K / X-X</t>
        </is>
      </c>
      <c r="I38" t="n">
        <v>0.7</v>
      </c>
      <c r="J38" t="n">
        <v>0.099</v>
      </c>
    </row>
    <row r="39">
      <c r="A39" t="inlineStr">
        <is>
          <t>3p624, 3C2</t>
        </is>
      </c>
      <c r="B39" t="n">
        <v>6</v>
      </c>
      <c r="C39" t="n">
        <v>548</v>
      </c>
      <c r="D39" t="n">
        <v>2</v>
      </c>
      <c r="E39" t="inlineStr">
        <is>
          <t>length</t>
        </is>
      </c>
      <c r="F39" t="n">
        <v>1</v>
      </c>
      <c r="G39" t="b">
        <v>0</v>
      </c>
      <c r="H39" t="inlineStr">
        <is>
          <t>K-K / L-L</t>
        </is>
      </c>
      <c r="I39" t="n">
        <v>1.096</v>
      </c>
      <c r="J39" t="n">
        <v>0.155</v>
      </c>
    </row>
    <row r="40">
      <c r="A40" t="inlineStr">
        <is>
          <t>3p625, 3C2</t>
        </is>
      </c>
      <c r="B40" t="n">
        <v>6</v>
      </c>
      <c r="C40" t="n">
        <v>385</v>
      </c>
      <c r="D40" t="n">
        <v>3</v>
      </c>
      <c r="E40" t="inlineStr">
        <is>
          <t>length</t>
        </is>
      </c>
      <c r="F40" t="n">
        <v>1</v>
      </c>
      <c r="G40" t="b">
        <v>0</v>
      </c>
      <c r="H40" t="inlineStr">
        <is>
          <t>K-K / X-X, Y-Y</t>
        </is>
      </c>
      <c r="I40" t="n">
        <v>1.155</v>
      </c>
      <c r="J40" t="n">
        <v>0.163</v>
      </c>
    </row>
    <row r="41">
      <c r="A41" t="inlineStr">
        <is>
          <t>3p626, 3C2</t>
        </is>
      </c>
      <c r="B41" t="n">
        <v>6</v>
      </c>
      <c r="C41" t="n">
        <v>375</v>
      </c>
      <c r="D41" t="n">
        <v>2</v>
      </c>
      <c r="E41" t="inlineStr">
        <is>
          <t>length</t>
        </is>
      </c>
      <c r="F41" t="n">
        <v>1</v>
      </c>
      <c r="G41" t="b">
        <v>0</v>
      </c>
      <c r="H41" t="inlineStr">
        <is>
          <t>K-K / X-X, Y-Y</t>
        </is>
      </c>
      <c r="I41" t="n">
        <v>0.75</v>
      </c>
      <c r="J41" t="n">
        <v>0.106</v>
      </c>
    </row>
    <row r="42">
      <c r="A42" t="inlineStr">
        <is>
          <t>3p627, 3C2</t>
        </is>
      </c>
      <c r="B42" t="n">
        <v>6</v>
      </c>
      <c r="C42" t="n">
        <v>473</v>
      </c>
      <c r="D42" t="n">
        <v>2</v>
      </c>
      <c r="E42" t="inlineStr">
        <is>
          <t>length</t>
        </is>
      </c>
      <c r="F42" t="n">
        <v>1</v>
      </c>
      <c r="G42" t="b">
        <v>0</v>
      </c>
      <c r="H42" t="inlineStr">
        <is>
          <t>H-H / K-K, L-L</t>
        </is>
      </c>
      <c r="I42" t="n">
        <v>0.946</v>
      </c>
      <c r="J42" t="n">
        <v>0.134</v>
      </c>
    </row>
    <row r="43">
      <c r="A43" t="inlineStr">
        <is>
          <t>3p628, 3C2</t>
        </is>
      </c>
      <c r="B43" t="n">
        <v>6</v>
      </c>
      <c r="C43" t="n">
        <v>200</v>
      </c>
      <c r="D43" t="n">
        <v>2</v>
      </c>
      <c r="E43" t="inlineStr">
        <is>
          <t>length</t>
        </is>
      </c>
      <c r="F43" t="n">
        <v>1</v>
      </c>
      <c r="G43" t="b">
        <v>0</v>
      </c>
      <c r="H43" t="inlineStr">
        <is>
          <t>H-H / K-K</t>
        </is>
      </c>
      <c r="I43" t="n">
        <v>0.4</v>
      </c>
      <c r="J43" t="n">
        <v>0.057</v>
      </c>
    </row>
    <row r="44">
      <c r="A44" t="inlineStr">
        <is>
          <t>3p630, 3C2</t>
        </is>
      </c>
      <c r="B44" t="n">
        <v>6</v>
      </c>
      <c r="C44" t="n">
        <v>385</v>
      </c>
      <c r="D44" t="n">
        <v>1</v>
      </c>
      <c r="E44" t="inlineStr">
        <is>
          <t>length</t>
        </is>
      </c>
      <c r="F44" t="n">
        <v>1</v>
      </c>
      <c r="G44" t="b">
        <v>0</v>
      </c>
      <c r="H44" t="inlineStr">
        <is>
          <t>H-H / X-X</t>
        </is>
      </c>
      <c r="I44" t="n">
        <v>0.385</v>
      </c>
      <c r="J44" t="n">
        <v>0.054</v>
      </c>
    </row>
    <row r="45">
      <c r="A45" t="inlineStr">
        <is>
          <t>3p631, 3C2</t>
        </is>
      </c>
      <c r="B45" t="n">
        <v>6</v>
      </c>
      <c r="C45" t="n">
        <v>375</v>
      </c>
      <c r="D45" t="n">
        <v>2</v>
      </c>
      <c r="E45" t="inlineStr">
        <is>
          <t>length</t>
        </is>
      </c>
      <c r="F45" t="n">
        <v>1</v>
      </c>
      <c r="G45" t="b">
        <v>0</v>
      </c>
      <c r="H45" t="inlineStr">
        <is>
          <t>H-H / X-X, Y-Y</t>
        </is>
      </c>
      <c r="I45" t="n">
        <v>0.75</v>
      </c>
      <c r="J45" t="n">
        <v>0.106</v>
      </c>
    </row>
    <row r="46">
      <c r="A46" t="inlineStr">
        <is>
          <t>3p741, 3C2</t>
        </is>
      </c>
      <c r="B46" t="n">
        <v>6</v>
      </c>
      <c r="C46" t="n">
        <v>607.3</v>
      </c>
      <c r="D46" t="n">
        <v>2</v>
      </c>
      <c r="E46" t="inlineStr">
        <is>
          <t>length</t>
        </is>
      </c>
      <c r="F46" t="n">
        <v>1</v>
      </c>
      <c r="G46" t="b">
        <v>0</v>
      </c>
      <c r="H46" t="inlineStr">
        <is>
          <t>H-H / Y-Y</t>
        </is>
      </c>
      <c r="I46" t="n">
        <v>1.215</v>
      </c>
      <c r="J46" t="n">
        <v>0.172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level</t>
        </is>
      </c>
      <c r="C1" t="inlineStr">
        <is>
          <t>message</t>
        </is>
      </c>
      <c r="D1" t="inlineStr">
        <is>
          <t>region</t>
        </is>
      </c>
    </row>
    <row r="2">
      <c r="A2" t="inlineStr">
        <is>
          <t>boq.drawing_weight</t>
        </is>
      </c>
      <c r="B2" t="inlineStr">
        <is>
          <t>pass</t>
        </is>
      </c>
      <c r="C2" t="inlineStr">
        <is>
          <t>BOQ total drawing weight 26121.52 kg; BOM gross total 26121.53 kg.</t>
        </is>
      </c>
      <c r="D2" t="inlineStr">
        <is>
          <t>inventory</t>
        </is>
      </c>
    </row>
    <row r="3">
      <c r="A3" t="inlineStr">
        <is>
          <t>boq.calculated</t>
        </is>
      </c>
      <c r="B3" t="inlineStr">
        <is>
          <t>pass</t>
        </is>
      </c>
      <c r="C3" t="inlineStr">
        <is>
          <t>BOQ calculated 26122.18 kg vs drawing 26121.52 kg (+0.66 kg).</t>
        </is>
      </c>
      <c r="D3" t="inlineStr">
        <is>
          <t>inventory</t>
        </is>
      </c>
    </row>
    <row r="4">
      <c r="A4" t="inlineStr">
        <is>
          <t>inventory.unclassified</t>
        </is>
      </c>
      <c r="B4" t="inlineStr">
        <is>
          <t>pass</t>
        </is>
      </c>
      <c r="C4" t="inlineStr">
        <is>
          <t>Every BOM member is classified.</t>
        </is>
      </c>
      <c r="D4" t="inlineStr">
        <is>
          <t>inventory</t>
        </is>
      </c>
    </row>
    <row r="5">
      <c r="A5" t="inlineStr">
        <is>
          <t>inventory.welds</t>
        </is>
      </c>
      <c r="B5" t="inlineStr">
        <is>
          <t>pass</t>
        </is>
      </c>
      <c r="C5" t="inlineStr">
        <is>
          <t>45 weld runs accepted</t>
        </is>
      </c>
      <c r="D5" t="inlineStr">
        <is>
          <t>inventory</t>
        </is>
      </c>
    </row>
    <row r="6">
      <c r="A6" t="inlineStr">
        <is>
          <t>inventory.weld_estimate</t>
        </is>
      </c>
      <c r="B6" t="inlineStr">
        <is>
          <t>warn</t>
        </is>
      </c>
      <c r="C6" t="inlineStr">
        <is>
          <t>Weld metal 22.69 kg (0.09% of steel; fabricated steel is typically 1-2%) is a model-read estimate, unverified: topology read by OpenAI, lengths computed from the BOM, tack welds excluded; flange-to-web seams of built-up members are not drawn and not included.</t>
        </is>
      </c>
      <c r="D6" t="inlineStr">
        <is>
          <t>inventory</t>
        </is>
      </c>
    </row>
    <row r="7">
      <c r="A7" t="inlineStr">
        <is>
          <t>inventory.weight</t>
        </is>
      </c>
      <c r="B7" t="inlineStr">
        <is>
          <t>pass</t>
        </is>
      </c>
      <c r="C7" t="inlineStr">
        <is>
          <t>Plates + sections = 26121.52 kg; BOM gross total = 26121.53 kg.</t>
        </is>
      </c>
      <c r="D7" t="inlineStr">
        <is>
          <t>inventory</t>
        </is>
      </c>
    </row>
    <row r="8">
      <c r="A8" t="inlineStr">
        <is>
          <t>inventory.paint</t>
        </is>
      </c>
      <c r="B8" t="inlineStr">
        <is>
          <t>pass</t>
        </is>
      </c>
      <c r="C8" t="inlineStr">
        <is>
          <t>Paint area 254.57 m² (BOM total); Σ row area × qty = 254.33 m².</t>
        </is>
      </c>
      <c r="D8" t="inlineStr">
        <is>
          <t>inventory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2026-09-19T15:04:40Z</dcterms:created>
  <dcterms:modified xsi:type="dcterms:W3CDTF">2026-09-19T15:04:40Z</dcterms:modified>
</cp:coreProperties>
</file>