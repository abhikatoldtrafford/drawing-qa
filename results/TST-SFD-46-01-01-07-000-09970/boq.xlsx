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J1">
        <f>SUBTOTAL(9,J3:J105848)</f>
        <v/>
      </c>
      <c r="L1">
        <f>SUBTOTAL(9,L3:L105848)</f>
        <v/>
      </c>
      <c r="M1">
        <f>SUBTOTAL(9,M3:M105848)</f>
        <v/>
      </c>
      <c r="N1">
        <f>SUBTOTAL(9,N3:N105848)</f>
        <v/>
      </c>
      <c r="O1">
        <f>SUBTOTAL(9,O3:O105848)</f>
        <v/>
      </c>
      <c r="P1">
        <f>SUBTOTAL(9,P3:P105848)</f>
        <v/>
      </c>
    </row>
    <row r="2">
      <c r="A2" t="inlineStr">
        <is>
          <t>DRAWING NO</t>
        </is>
      </c>
      <c r="B2" t="inlineStr">
        <is>
          <t>ITEM TYPE</t>
        </is>
      </c>
      <c r="C2" t="inlineStr">
        <is>
          <t>MARK NO</t>
        </is>
      </c>
      <c r="D2" t="inlineStr">
        <is>
          <t>ITEMNO</t>
        </is>
      </c>
      <c r="E2" t="inlineStr">
        <is>
          <t>SECTION</t>
        </is>
      </c>
      <c r="F2" t="inlineStr">
        <is>
          <t>WIDTH</t>
        </is>
      </c>
      <c r="G2" t="inlineStr">
        <is>
          <t>LENGTH</t>
        </is>
      </c>
      <c r="H2" t="inlineStr">
        <is>
          <t>QTY</t>
        </is>
      </c>
      <c r="I2" t="inlineStr">
        <is>
          <t>FAB QTY</t>
        </is>
      </c>
      <c r="J2" t="inlineStr">
        <is>
          <t>TOTAL QTY</t>
        </is>
      </c>
      <c r="K2" t="inlineStr">
        <is>
          <t>UNIT WT</t>
        </is>
      </c>
      <c r="L2" t="inlineStr">
        <is>
          <t xml:space="preserve"> CALCULATED WT</t>
        </is>
      </c>
      <c r="M2" t="inlineStr">
        <is>
          <t>TOTAL CALCULATED WT</t>
        </is>
      </c>
      <c r="N2" t="inlineStr">
        <is>
          <t>WT</t>
        </is>
      </c>
      <c r="O2" t="inlineStr">
        <is>
          <t>TOTAL DRG WT</t>
        </is>
      </c>
      <c r="P2" t="inlineStr">
        <is>
          <t>DIFFRENCE</t>
        </is>
      </c>
      <c r="Q2" t="inlineStr">
        <is>
          <t>GRADE</t>
        </is>
      </c>
      <c r="R2" t="inlineStr">
        <is>
          <t>UNIT WT SOURCE</t>
        </is>
      </c>
      <c r="S2" t="inlineStr">
        <is>
          <t>NOTE</t>
        </is>
      </c>
    </row>
    <row r="3">
      <c r="A3" t="inlineStr">
        <is>
          <t>TST-SFD-46-01-01-07-000-09970</t>
        </is>
      </c>
      <c r="B3" t="inlineStr">
        <is>
          <t>DOWN COMER</t>
        </is>
      </c>
      <c r="C3" t="inlineStr">
        <is>
          <t>4DC3</t>
        </is>
      </c>
      <c r="D3" t="inlineStr">
        <is>
          <t>4DC3</t>
        </is>
      </c>
      <c r="E3" t="inlineStr">
        <is>
          <t>PIPE508*6</t>
        </is>
      </c>
      <c r="G3" t="n">
        <v>2233.9</v>
      </c>
      <c r="H3" t="n">
        <v>1</v>
      </c>
      <c r="I3" t="n">
        <v>1</v>
      </c>
      <c r="J3">
        <f>H3*I3</f>
        <v/>
      </c>
      <c r="K3" t="n">
        <v>74.28</v>
      </c>
      <c r="L3">
        <f>(G3/1000)*H3*K3</f>
        <v/>
      </c>
      <c r="M3">
        <f>L3*I3</f>
        <v/>
      </c>
      <c r="N3" t="n">
        <v>155.47</v>
      </c>
      <c r="O3">
        <f>N3*I3</f>
        <v/>
      </c>
      <c r="P3">
        <f>M3-O3</f>
        <v/>
      </c>
      <c r="Q3" t="inlineStr">
        <is>
          <t>YST 240</t>
        </is>
      </c>
      <c r="R3" t="inlineStr">
        <is>
          <t>computed (pi (OD-t) t x 7850)</t>
        </is>
      </c>
      <c r="S3" t="inlineStr">
        <is>
          <t>BOM length is the longest length; DIFFERENCE includes mitre / hole cut-off</t>
        </is>
      </c>
    </row>
    <row r="4">
      <c r="A4" t="inlineStr">
        <is>
          <t>TST-SFD-46-01-01-07-000-09970</t>
        </is>
      </c>
      <c r="B4" t="inlineStr">
        <is>
          <t>DOWN COMER</t>
        </is>
      </c>
      <c r="C4" t="inlineStr">
        <is>
          <t>4DC3</t>
        </is>
      </c>
      <c r="D4" t="inlineStr">
        <is>
          <t>4m665</t>
        </is>
      </c>
      <c r="E4" t="inlineStr">
        <is>
          <t>PIPE508*6</t>
        </is>
      </c>
      <c r="G4" t="n">
        <v>2054.9</v>
      </c>
      <c r="H4" t="n">
        <v>1</v>
      </c>
      <c r="I4" t="n">
        <v>1</v>
      </c>
      <c r="J4">
        <f>H4*I4</f>
        <v/>
      </c>
      <c r="K4" t="n">
        <v>74.28</v>
      </c>
      <c r="L4">
        <f>(G4/1000)*H4*K4</f>
        <v/>
      </c>
      <c r="M4">
        <f>L4*I4</f>
        <v/>
      </c>
      <c r="N4" t="n">
        <v>132.45</v>
      </c>
      <c r="O4">
        <f>N4*I4</f>
        <v/>
      </c>
      <c r="P4">
        <f>M4-O4</f>
        <v/>
      </c>
      <c r="Q4" t="inlineStr">
        <is>
          <t>YST 240</t>
        </is>
      </c>
      <c r="R4" t="inlineStr">
        <is>
          <t>computed (pi (OD-t) t x 7850)</t>
        </is>
      </c>
      <c r="S4" t="inlineStr">
        <is>
          <t>BOM length is the longest length; DIFFERENCE includes mitre / hole cut-off</t>
        </is>
      </c>
    </row>
    <row r="5">
      <c r="A5" t="inlineStr">
        <is>
          <t>TST-SFD-46-01-01-07-000-09970</t>
        </is>
      </c>
      <c r="B5" t="inlineStr">
        <is>
          <t>DOWN COMER</t>
        </is>
      </c>
      <c r="C5" t="inlineStr">
        <is>
          <t>4DC3</t>
        </is>
      </c>
      <c r="D5" t="inlineStr">
        <is>
          <t>4m666</t>
        </is>
      </c>
      <c r="E5" t="inlineStr">
        <is>
          <t>PIPE508*6</t>
        </is>
      </c>
      <c r="G5" t="n">
        <v>1184.2</v>
      </c>
      <c r="H5" t="n">
        <v>1</v>
      </c>
      <c r="I5" t="n">
        <v>1</v>
      </c>
      <c r="J5">
        <f>H5*I5</f>
        <v/>
      </c>
      <c r="K5" t="n">
        <v>74.28</v>
      </c>
      <c r="L5">
        <f>(G5/1000)*H5*K5</f>
        <v/>
      </c>
      <c r="M5">
        <f>L5*I5</f>
        <v/>
      </c>
      <c r="N5" t="n">
        <v>77.81999999999999</v>
      </c>
      <c r="O5">
        <f>N5*I5</f>
        <v/>
      </c>
      <c r="P5">
        <f>M5-O5</f>
        <v/>
      </c>
      <c r="Q5" t="inlineStr">
        <is>
          <t>YST 240</t>
        </is>
      </c>
      <c r="R5" t="inlineStr">
        <is>
          <t>computed (pi (OD-t) t x 7850)</t>
        </is>
      </c>
      <c r="S5" t="inlineStr">
        <is>
          <t>BOM length is the longest length; DIFFERENCE includes mitre / hole cut-off</t>
        </is>
      </c>
    </row>
    <row r="6">
      <c r="A6" t="inlineStr">
        <is>
          <t>TST-SFD-46-01-01-07-000-09970</t>
        </is>
      </c>
      <c r="B6" t="inlineStr">
        <is>
          <t>DOWN COMER</t>
        </is>
      </c>
      <c r="C6" t="inlineStr">
        <is>
          <t>4DC3</t>
        </is>
      </c>
      <c r="D6" t="inlineStr">
        <is>
          <t>4m706</t>
        </is>
      </c>
      <c r="E6" t="inlineStr">
        <is>
          <t>PIPE219.1*5.4</t>
        </is>
      </c>
      <c r="G6" t="n">
        <v>325.3</v>
      </c>
      <c r="H6" t="n">
        <v>1</v>
      </c>
      <c r="I6" t="n">
        <v>1</v>
      </c>
      <c r="J6">
        <f>H6*I6</f>
        <v/>
      </c>
      <c r="K6" t="n">
        <v>28.459</v>
      </c>
      <c r="L6">
        <f>(G6/1000)*H6*K6</f>
        <v/>
      </c>
      <c r="M6">
        <f>L6*I6</f>
        <v/>
      </c>
      <c r="N6" t="n">
        <v>9.18</v>
      </c>
      <c r="O6">
        <f>N6*I6</f>
        <v/>
      </c>
      <c r="P6">
        <f>M6-O6</f>
        <v/>
      </c>
      <c r="Q6" t="inlineStr">
        <is>
          <t>YST 240</t>
        </is>
      </c>
      <c r="R6" t="inlineStr">
        <is>
          <t>computed (pi (OD-t) t x 7850)</t>
        </is>
      </c>
      <c r="S6" t="inlineStr">
        <is>
          <t>BOM length is the longest length; DIFFERENCE includes mitre / hole cut-off</t>
        </is>
      </c>
    </row>
    <row r="7">
      <c r="A7" t="inlineStr">
        <is>
          <t>TST-SFD-46-01-01-07-000-09970</t>
        </is>
      </c>
      <c r="B7" t="inlineStr">
        <is>
          <t>DOWN COMER</t>
        </is>
      </c>
      <c r="C7" t="inlineStr">
        <is>
          <t>4DC3</t>
        </is>
      </c>
      <c r="D7" t="inlineStr">
        <is>
          <t>4m707</t>
        </is>
      </c>
      <c r="E7" t="inlineStr">
        <is>
          <t>ROD20</t>
        </is>
      </c>
      <c r="G7" t="n">
        <v>301.4</v>
      </c>
      <c r="H7" t="n">
        <v>1</v>
      </c>
      <c r="I7" t="n">
        <v>1</v>
      </c>
      <c r="J7">
        <f>H7*I7</f>
        <v/>
      </c>
      <c r="K7" t="n">
        <v>2.47</v>
      </c>
      <c r="L7">
        <f>(G7/1000)*H7*K7</f>
        <v/>
      </c>
      <c r="M7">
        <f>L7*I7</f>
        <v/>
      </c>
      <c r="N7" t="n">
        <v>0.74</v>
      </c>
      <c r="O7">
        <f>N7*I7</f>
        <v/>
      </c>
      <c r="P7">
        <f>M7-O7</f>
        <v/>
      </c>
      <c r="Q7" t="inlineStr">
        <is>
          <t>E250A</t>
        </is>
      </c>
      <c r="R7" t="inlineStr">
        <is>
          <t>IS 808 table</t>
        </is>
      </c>
      <c r="S7" t="inlineStr"/>
    </row>
    <row r="8">
      <c r="A8" t="inlineStr">
        <is>
          <t>TST-SFD-46-01-01-07-000-09970</t>
        </is>
      </c>
      <c r="B8" t="inlineStr">
        <is>
          <t>DOWN COMER</t>
        </is>
      </c>
      <c r="C8" t="inlineStr">
        <is>
          <t>4DC3</t>
        </is>
      </c>
      <c r="D8" t="inlineStr">
        <is>
          <t>4p637</t>
        </is>
      </c>
      <c r="E8" t="inlineStr">
        <is>
          <t>PL10</t>
        </is>
      </c>
      <c r="F8" t="n">
        <v>150</v>
      </c>
      <c r="G8" t="n">
        <v>832.5</v>
      </c>
      <c r="H8" t="n">
        <v>2</v>
      </c>
      <c r="I8" t="n">
        <v>1</v>
      </c>
      <c r="J8">
        <f>H8*I8</f>
        <v/>
      </c>
      <c r="K8">
        <f>7.85*10</f>
        <v/>
      </c>
      <c r="L8">
        <f>(F8/1000)*(G8/1000)*H8*K8</f>
        <v/>
      </c>
      <c r="M8">
        <f>L8*I8</f>
        <v/>
      </c>
      <c r="N8" t="n">
        <v>19.61</v>
      </c>
      <c r="O8">
        <f>N8*I8</f>
        <v/>
      </c>
      <c r="P8">
        <f>M8-O8</f>
        <v/>
      </c>
      <c r="Q8" t="inlineStr">
        <is>
          <t>E350A</t>
        </is>
      </c>
      <c r="R8" t="inlineStr">
        <is>
          <t>7.85 x t</t>
        </is>
      </c>
      <c r="S8" t="inlineStr"/>
    </row>
    <row r="9">
      <c r="A9" t="inlineStr">
        <is>
          <t>TST-SFD-46-01-01-07-000-09970</t>
        </is>
      </c>
      <c r="B9" t="inlineStr">
        <is>
          <t>DOWN COMER</t>
        </is>
      </c>
      <c r="C9" t="inlineStr">
        <is>
          <t>4DC3</t>
        </is>
      </c>
      <c r="D9" t="inlineStr">
        <is>
          <t>4p638</t>
        </is>
      </c>
      <c r="E9" t="inlineStr">
        <is>
          <t>PL6</t>
        </is>
      </c>
      <c r="F9" t="n">
        <v>50</v>
      </c>
      <c r="G9" t="n">
        <v>807.4</v>
      </c>
      <c r="H9" t="n">
        <v>2</v>
      </c>
      <c r="I9" t="n">
        <v>1</v>
      </c>
      <c r="J9">
        <f>H9*I9</f>
        <v/>
      </c>
      <c r="K9">
        <f>7.85*6</f>
        <v/>
      </c>
      <c r="L9">
        <f>(F9/1000)*(G9/1000)*H9*K9</f>
        <v/>
      </c>
      <c r="M9">
        <f>L9*I9</f>
        <v/>
      </c>
      <c r="N9" t="n">
        <v>3.8</v>
      </c>
      <c r="O9">
        <f>N9*I9</f>
        <v/>
      </c>
      <c r="P9">
        <f>M9-O9</f>
        <v/>
      </c>
      <c r="Q9" t="inlineStr">
        <is>
          <t>E350A</t>
        </is>
      </c>
      <c r="R9" t="inlineStr">
        <is>
          <t>7.85 x t</t>
        </is>
      </c>
      <c r="S9" t="inlineStr"/>
    </row>
    <row r="10">
      <c r="A10" t="inlineStr">
        <is>
          <t>TST-SFD-46-01-01-07-000-09970</t>
        </is>
      </c>
      <c r="B10" t="inlineStr">
        <is>
          <t>DOWN COMER</t>
        </is>
      </c>
      <c r="C10" t="inlineStr">
        <is>
          <t>4DC3</t>
        </is>
      </c>
      <c r="D10" t="inlineStr">
        <is>
          <t>4p639</t>
        </is>
      </c>
      <c r="E10" t="inlineStr">
        <is>
          <t>PL8</t>
        </is>
      </c>
      <c r="F10" t="n">
        <v>94</v>
      </c>
      <c r="G10" t="n">
        <v>150</v>
      </c>
      <c r="H10" t="n">
        <v>4</v>
      </c>
      <c r="I10" t="n">
        <v>1</v>
      </c>
      <c r="J10">
        <f>H10*I10</f>
        <v/>
      </c>
      <c r="K10">
        <f>7.85*8</f>
        <v/>
      </c>
      <c r="L10">
        <f>(F10/1000)*(G10/1000)*H10*K10</f>
        <v/>
      </c>
      <c r="M10">
        <f>L10*I10</f>
        <v/>
      </c>
      <c r="N10" t="n">
        <v>3.55</v>
      </c>
      <c r="O10">
        <f>N10*I10</f>
        <v/>
      </c>
      <c r="P10">
        <f>M10-O10</f>
        <v/>
      </c>
      <c r="Q10" t="inlineStr">
        <is>
          <t>E350A</t>
        </is>
      </c>
      <c r="R10" t="inlineStr">
        <is>
          <t>7.85 x t</t>
        </is>
      </c>
      <c r="S10" t="inlineStr"/>
    </row>
    <row r="11">
      <c r="A11" t="inlineStr">
        <is>
          <t>TST-SFD-46-01-01-07-000-09970</t>
        </is>
      </c>
      <c r="B11" t="inlineStr">
        <is>
          <t>DOWN COMER</t>
        </is>
      </c>
      <c r="C11" t="inlineStr">
        <is>
          <t>4DC3</t>
        </is>
      </c>
      <c r="D11" t="inlineStr">
        <is>
          <t>4p640</t>
        </is>
      </c>
      <c r="E11" t="inlineStr">
        <is>
          <t>PL8</t>
        </is>
      </c>
      <c r="F11" t="n">
        <v>155</v>
      </c>
      <c r="G11" t="n">
        <v>173</v>
      </c>
      <c r="H11" t="n">
        <v>4</v>
      </c>
      <c r="I11" t="n">
        <v>1</v>
      </c>
      <c r="J11">
        <f>H11*I11</f>
        <v/>
      </c>
      <c r="K11">
        <f>7.85*8</f>
        <v/>
      </c>
      <c r="L11">
        <f>(F11/1000)*(G11/1000)*H11*K11</f>
        <v/>
      </c>
      <c r="M11">
        <f>L11*I11</f>
        <v/>
      </c>
      <c r="N11" t="n">
        <v>6.72</v>
      </c>
      <c r="O11">
        <f>N11*I11</f>
        <v/>
      </c>
      <c r="P11">
        <f>M11-O11</f>
        <v/>
      </c>
      <c r="Q11" t="inlineStr">
        <is>
          <t>E350A</t>
        </is>
      </c>
      <c r="R11" t="inlineStr">
        <is>
          <t>7.85 x t</t>
        </is>
      </c>
      <c r="S11" t="inlineStr"/>
    </row>
    <row r="12">
      <c r="A12" t="inlineStr">
        <is>
          <t>TST-SFD-46-01-01-07-000-09970</t>
        </is>
      </c>
      <c r="B12" t="inlineStr">
        <is>
          <t>DOWN COMER</t>
        </is>
      </c>
      <c r="C12" t="inlineStr">
        <is>
          <t>4DC3</t>
        </is>
      </c>
      <c r="D12" t="inlineStr">
        <is>
          <t>4p641</t>
        </is>
      </c>
      <c r="E12" t="inlineStr">
        <is>
          <t>PL8</t>
        </is>
      </c>
      <c r="F12" t="n">
        <v>83</v>
      </c>
      <c r="G12" t="n">
        <v>150</v>
      </c>
      <c r="H12" t="n">
        <v>4</v>
      </c>
      <c r="I12" t="n">
        <v>1</v>
      </c>
      <c r="J12">
        <f>H12*I12</f>
        <v/>
      </c>
      <c r="K12">
        <f>7.85*8</f>
        <v/>
      </c>
      <c r="L12">
        <f>(F12/1000)*(G12/1000)*H12*K12</f>
        <v/>
      </c>
      <c r="M12">
        <f>L12*I12</f>
        <v/>
      </c>
      <c r="N12" t="n">
        <v>3.13</v>
      </c>
      <c r="O12">
        <f>N12*I12</f>
        <v/>
      </c>
      <c r="P12">
        <f>M12-O12</f>
        <v/>
      </c>
      <c r="Q12" t="inlineStr">
        <is>
          <t>E350A</t>
        </is>
      </c>
      <c r="R12" t="inlineStr">
        <is>
          <t>7.85 x t</t>
        </is>
      </c>
      <c r="S12" t="inlineStr"/>
    </row>
    <row r="13">
      <c r="A13" t="inlineStr">
        <is>
          <t>TST-SFD-46-01-01-07-000-09970</t>
        </is>
      </c>
      <c r="B13" t="inlineStr">
        <is>
          <t>DOWN COMER</t>
        </is>
      </c>
      <c r="C13" t="inlineStr">
        <is>
          <t>4DC3</t>
        </is>
      </c>
      <c r="D13" t="inlineStr">
        <is>
          <t>4p660</t>
        </is>
      </c>
      <c r="E13" t="inlineStr">
        <is>
          <t>PL10</t>
        </is>
      </c>
      <c r="F13" t="n">
        <v>358</v>
      </c>
      <c r="G13" t="n">
        <v>358.3</v>
      </c>
      <c r="H13" t="n">
        <v>2</v>
      </c>
      <c r="I13" t="n">
        <v>1</v>
      </c>
      <c r="J13">
        <f>H13*I13</f>
        <v/>
      </c>
      <c r="K13">
        <f>7.85*10</f>
        <v/>
      </c>
      <c r="L13">
        <f>(F13/1000)*(G13/1000)*H13*K13</f>
        <v/>
      </c>
      <c r="M13">
        <f>L13*I13</f>
        <v/>
      </c>
      <c r="N13" t="n">
        <v>20.15</v>
      </c>
      <c r="O13">
        <f>N13*I13</f>
        <v/>
      </c>
      <c r="P13">
        <f>M13-O13</f>
        <v/>
      </c>
      <c r="Q13" t="inlineStr">
        <is>
          <t>E350A</t>
        </is>
      </c>
      <c r="R13" t="inlineStr">
        <is>
          <t>7.85 x t</t>
        </is>
      </c>
      <c r="S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2026-09-19T15:03:01Z</dcterms:created>
  <dcterms:modified xsi:type="dcterms:W3CDTF">2026-09-19T15:03:01Z</dcterms:modified>
</cp:coreProperties>
</file>