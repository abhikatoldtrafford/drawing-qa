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itle" sheetId="2" state="visible" r:id="rId2"/>
    <sheet name="BOM" sheetId="3" state="visible" r:id="rId3"/>
    <sheet name="Locations" sheetId="4" state="visible" r:id="rId4"/>
    <sheet name="Abstract" sheetId="5" state="visible" r:id="rId5"/>
    <sheet name="Bolts" sheetId="6" state="visible" r:id="rId6"/>
    <sheet name="Revisions" sheetId="7" state="visible" r:id="rId7"/>
    <sheet name="Notes" sheetId="8" state="visible" r:id="rId8"/>
    <sheet name="Views" sheetId="9" state="visible" r:id="rId9"/>
    <sheet name="Checks" sheetId="10" state="visible" r:id="rId10"/>
    <sheet name="Inv Summary" sheetId="11" state="visible" r:id="rId11"/>
    <sheet name="Inv Plates" sheetId="12" state="visible" r:id="rId12"/>
    <sheet name="Inv Sections" sheetId="13" state="visible" r:id="rId13"/>
    <sheet name="Inv Fasteners" sheetId="14" state="visible" r:id="rId14"/>
    <sheet name="Inv Welds" sheetId="15" state="visible" r:id="rId15"/>
    <sheet name="Inv Review" sheetId="16" state="visible" r:id="rId16"/>
    <sheet name="Inv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TST-SFD-46-01-01-07-000-09970</t>
        </is>
      </c>
      <c r="B3" t="inlineStr">
        <is>
          <t>DOWN COMER</t>
        </is>
      </c>
      <c r="C3" t="inlineStr">
        <is>
          <t>4DC3</t>
        </is>
      </c>
      <c r="D3" t="inlineStr">
        <is>
          <t>4DC3</t>
        </is>
      </c>
      <c r="E3" t="inlineStr">
        <is>
          <t>PIPE508*6</t>
        </is>
      </c>
      <c r="G3" t="n">
        <v>2233.9</v>
      </c>
      <c r="H3" t="n">
        <v>1</v>
      </c>
      <c r="I3" t="n">
        <v>1</v>
      </c>
      <c r="J3">
        <f>H3*I3</f>
        <v/>
      </c>
      <c r="K3" t="n">
        <v>74.28</v>
      </c>
      <c r="L3">
        <f>(G3/1000)*H3*K3</f>
        <v/>
      </c>
      <c r="M3">
        <f>L3*I3</f>
        <v/>
      </c>
      <c r="N3" t="n">
        <v>155.47</v>
      </c>
      <c r="O3">
        <f>N3*I3</f>
        <v/>
      </c>
      <c r="P3">
        <f>M3-O3</f>
        <v/>
      </c>
      <c r="Q3" t="inlineStr">
        <is>
          <t>YST 240</t>
        </is>
      </c>
      <c r="R3" t="inlineStr">
        <is>
          <t>computed (pi (OD-t) t x 7850)</t>
        </is>
      </c>
      <c r="S3" t="inlineStr">
        <is>
          <t>BOM length is the longest length; DIFFERENCE includes mitre / hole cut-off</t>
        </is>
      </c>
    </row>
    <row r="4">
      <c r="A4" t="inlineStr">
        <is>
          <t>TST-SFD-46-01-01-07-000-09970</t>
        </is>
      </c>
      <c r="B4" t="inlineStr">
        <is>
          <t>DOWN COMER</t>
        </is>
      </c>
      <c r="C4" t="inlineStr">
        <is>
          <t>4DC3</t>
        </is>
      </c>
      <c r="D4" t="inlineStr">
        <is>
          <t>4m665</t>
        </is>
      </c>
      <c r="E4" t="inlineStr">
        <is>
          <t>PIPE508*6</t>
        </is>
      </c>
      <c r="G4" t="n">
        <v>2054.9</v>
      </c>
      <c r="H4" t="n">
        <v>1</v>
      </c>
      <c r="I4" t="n">
        <v>1</v>
      </c>
      <c r="J4">
        <f>H4*I4</f>
        <v/>
      </c>
      <c r="K4" t="n">
        <v>74.28</v>
      </c>
      <c r="L4">
        <f>(G4/1000)*H4*K4</f>
        <v/>
      </c>
      <c r="M4">
        <f>L4*I4</f>
        <v/>
      </c>
      <c r="N4" t="n">
        <v>132.45</v>
      </c>
      <c r="O4">
        <f>N4*I4</f>
        <v/>
      </c>
      <c r="P4">
        <f>M4-O4</f>
        <v/>
      </c>
      <c r="Q4" t="inlineStr">
        <is>
          <t>YST 240</t>
        </is>
      </c>
      <c r="R4" t="inlineStr">
        <is>
          <t>computed (pi (OD-t) t x 7850)</t>
        </is>
      </c>
      <c r="S4" t="inlineStr">
        <is>
          <t>BOM length is the longest length; DIFFERENCE includes mitre / hole cut-off</t>
        </is>
      </c>
    </row>
    <row r="5">
      <c r="A5" t="inlineStr">
        <is>
          <t>TST-SFD-46-01-01-07-000-09970</t>
        </is>
      </c>
      <c r="B5" t="inlineStr">
        <is>
          <t>DOWN COMER</t>
        </is>
      </c>
      <c r="C5" t="inlineStr">
        <is>
          <t>4DC3</t>
        </is>
      </c>
      <c r="D5" t="inlineStr">
        <is>
          <t>4m666</t>
        </is>
      </c>
      <c r="E5" t="inlineStr">
        <is>
          <t>PIPE508*6</t>
        </is>
      </c>
      <c r="G5" t="n">
        <v>1184.2</v>
      </c>
      <c r="H5" t="n">
        <v>1</v>
      </c>
      <c r="I5" t="n">
        <v>1</v>
      </c>
      <c r="J5">
        <f>H5*I5</f>
        <v/>
      </c>
      <c r="K5" t="n">
        <v>74.28</v>
      </c>
      <c r="L5">
        <f>(G5/1000)*H5*K5</f>
        <v/>
      </c>
      <c r="M5">
        <f>L5*I5</f>
        <v/>
      </c>
      <c r="N5" t="n">
        <v>77.81999999999999</v>
      </c>
      <c r="O5">
        <f>N5*I5</f>
        <v/>
      </c>
      <c r="P5">
        <f>M5-O5</f>
        <v/>
      </c>
      <c r="Q5" t="inlineStr">
        <is>
          <t>YST 240</t>
        </is>
      </c>
      <c r="R5" t="inlineStr">
        <is>
          <t>computed (pi (OD-t) t x 7850)</t>
        </is>
      </c>
      <c r="S5" t="inlineStr">
        <is>
          <t>BOM length is the longest length; DIFFERENCE includes mitre / hole cut-off</t>
        </is>
      </c>
    </row>
    <row r="6">
      <c r="A6" t="inlineStr">
        <is>
          <t>TST-SFD-46-01-01-07-000-09970</t>
        </is>
      </c>
      <c r="B6" t="inlineStr">
        <is>
          <t>DOWN COMER</t>
        </is>
      </c>
      <c r="C6" t="inlineStr">
        <is>
          <t>4DC3</t>
        </is>
      </c>
      <c r="D6" t="inlineStr">
        <is>
          <t>4m706</t>
        </is>
      </c>
      <c r="E6" t="inlineStr">
        <is>
          <t>PIPE219.1*5.4</t>
        </is>
      </c>
      <c r="G6" t="n">
        <v>325.3</v>
      </c>
      <c r="H6" t="n">
        <v>1</v>
      </c>
      <c r="I6" t="n">
        <v>1</v>
      </c>
      <c r="J6">
        <f>H6*I6</f>
        <v/>
      </c>
      <c r="K6" t="n">
        <v>28.459</v>
      </c>
      <c r="L6">
        <f>(G6/1000)*H6*K6</f>
        <v/>
      </c>
      <c r="M6">
        <f>L6*I6</f>
        <v/>
      </c>
      <c r="N6" t="n">
        <v>9.18</v>
      </c>
      <c r="O6">
        <f>N6*I6</f>
        <v/>
      </c>
      <c r="P6">
        <f>M6-O6</f>
        <v/>
      </c>
      <c r="Q6" t="inlineStr">
        <is>
          <t>YST 240</t>
        </is>
      </c>
      <c r="R6" t="inlineStr">
        <is>
          <t>computed (pi (OD-t) t x 7850)</t>
        </is>
      </c>
      <c r="S6" t="inlineStr">
        <is>
          <t>BOM length is the longest length; DIFFERENCE includes mitre / hole cut-off</t>
        </is>
      </c>
    </row>
    <row r="7">
      <c r="A7" t="inlineStr">
        <is>
          <t>TST-SFD-46-01-01-07-000-09970</t>
        </is>
      </c>
      <c r="B7" t="inlineStr">
        <is>
          <t>DOWN COMER</t>
        </is>
      </c>
      <c r="C7" t="inlineStr">
        <is>
          <t>4DC3</t>
        </is>
      </c>
      <c r="D7" t="inlineStr">
        <is>
          <t>4m707</t>
        </is>
      </c>
      <c r="E7" t="inlineStr">
        <is>
          <t>ROD20</t>
        </is>
      </c>
      <c r="G7" t="n">
        <v>301.4</v>
      </c>
      <c r="H7" t="n">
        <v>1</v>
      </c>
      <c r="I7" t="n">
        <v>1</v>
      </c>
      <c r="J7">
        <f>H7*I7</f>
        <v/>
      </c>
      <c r="K7" t="n">
        <v>2.47</v>
      </c>
      <c r="L7">
        <f>(G7/1000)*H7*K7</f>
        <v/>
      </c>
      <c r="M7">
        <f>L7*I7</f>
        <v/>
      </c>
      <c r="N7" t="n">
        <v>0.74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IS 808 table</t>
        </is>
      </c>
      <c r="S7" t="inlineStr"/>
    </row>
    <row r="8">
      <c r="A8" t="inlineStr">
        <is>
          <t>TST-SFD-46-01-01-07-000-09970</t>
        </is>
      </c>
      <c r="B8" t="inlineStr">
        <is>
          <t>DOWN COMER</t>
        </is>
      </c>
      <c r="C8" t="inlineStr">
        <is>
          <t>4DC3</t>
        </is>
      </c>
      <c r="D8" t="inlineStr">
        <is>
          <t>4p637</t>
        </is>
      </c>
      <c r="E8" t="inlineStr">
        <is>
          <t>PL10</t>
        </is>
      </c>
      <c r="F8" t="n">
        <v>150</v>
      </c>
      <c r="G8" t="n">
        <v>832.5</v>
      </c>
      <c r="H8" t="n">
        <v>2</v>
      </c>
      <c r="I8" t="n">
        <v>1</v>
      </c>
      <c r="J8">
        <f>H8*I8</f>
        <v/>
      </c>
      <c r="K8">
        <f>7.85*10</f>
        <v/>
      </c>
      <c r="L8">
        <f>(F8/1000)*(G8/1000)*H8*K8</f>
        <v/>
      </c>
      <c r="M8">
        <f>L8*I8</f>
        <v/>
      </c>
      <c r="N8" t="n">
        <v>19.61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TST-SFD-46-01-01-07-000-09970</t>
        </is>
      </c>
      <c r="B9" t="inlineStr">
        <is>
          <t>DOWN COMER</t>
        </is>
      </c>
      <c r="C9" t="inlineStr">
        <is>
          <t>4DC3</t>
        </is>
      </c>
      <c r="D9" t="inlineStr">
        <is>
          <t>4p638</t>
        </is>
      </c>
      <c r="E9" t="inlineStr">
        <is>
          <t>PL6</t>
        </is>
      </c>
      <c r="F9" t="n">
        <v>50</v>
      </c>
      <c r="G9" t="n">
        <v>807.4</v>
      </c>
      <c r="H9" t="n">
        <v>2</v>
      </c>
      <c r="I9" t="n">
        <v>1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3.8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  <row r="10">
      <c r="A10" t="inlineStr">
        <is>
          <t>TST-SFD-46-01-01-07-000-09970</t>
        </is>
      </c>
      <c r="B10" t="inlineStr">
        <is>
          <t>DOWN COMER</t>
        </is>
      </c>
      <c r="C10" t="inlineStr">
        <is>
          <t>4DC3</t>
        </is>
      </c>
      <c r="D10" t="inlineStr">
        <is>
          <t>4p639</t>
        </is>
      </c>
      <c r="E10" t="inlineStr">
        <is>
          <t>PL8</t>
        </is>
      </c>
      <c r="F10" t="n">
        <v>94</v>
      </c>
      <c r="G10" t="n">
        <v>150</v>
      </c>
      <c r="H10" t="n">
        <v>4</v>
      </c>
      <c r="I10" t="n">
        <v>1</v>
      </c>
      <c r="J10">
        <f>H10*I10</f>
        <v/>
      </c>
      <c r="K10">
        <f>7.85*8</f>
        <v/>
      </c>
      <c r="L10">
        <f>(F10/1000)*(G10/1000)*H10*K10</f>
        <v/>
      </c>
      <c r="M10">
        <f>L10*I10</f>
        <v/>
      </c>
      <c r="N10" t="n">
        <v>3.55</v>
      </c>
      <c r="O10">
        <f>N10*I10</f>
        <v/>
      </c>
      <c r="P10">
        <f>M10-O10</f>
        <v/>
      </c>
      <c r="Q10" t="inlineStr">
        <is>
          <t>E350A</t>
        </is>
      </c>
      <c r="R10" t="inlineStr">
        <is>
          <t>7.85 x t</t>
        </is>
      </c>
      <c r="S10" t="inlineStr"/>
    </row>
    <row r="11">
      <c r="A11" t="inlineStr">
        <is>
          <t>TST-SFD-46-01-01-07-000-09970</t>
        </is>
      </c>
      <c r="B11" t="inlineStr">
        <is>
          <t>DOWN COMER</t>
        </is>
      </c>
      <c r="C11" t="inlineStr">
        <is>
          <t>4DC3</t>
        </is>
      </c>
      <c r="D11" t="inlineStr">
        <is>
          <t>4p640</t>
        </is>
      </c>
      <c r="E11" t="inlineStr">
        <is>
          <t>PL8</t>
        </is>
      </c>
      <c r="F11" t="n">
        <v>155</v>
      </c>
      <c r="G11" t="n">
        <v>173</v>
      </c>
      <c r="H11" t="n">
        <v>4</v>
      </c>
      <c r="I11" t="n">
        <v>1</v>
      </c>
      <c r="J11">
        <f>H11*I11</f>
        <v/>
      </c>
      <c r="K11">
        <f>7.85*8</f>
        <v/>
      </c>
      <c r="L11">
        <f>(F11/1000)*(G11/1000)*H11*K11</f>
        <v/>
      </c>
      <c r="M11">
        <f>L11*I11</f>
        <v/>
      </c>
      <c r="N11" t="n">
        <v>6.72</v>
      </c>
      <c r="O11">
        <f>N11*I11</f>
        <v/>
      </c>
      <c r="P11">
        <f>M11-O11</f>
        <v/>
      </c>
      <c r="Q11" t="inlineStr">
        <is>
          <t>E350A</t>
        </is>
      </c>
      <c r="R11" t="inlineStr">
        <is>
          <t>7.85 x t</t>
        </is>
      </c>
      <c r="S11" t="inlineStr"/>
    </row>
    <row r="12">
      <c r="A12" t="inlineStr">
        <is>
          <t>TST-SFD-46-01-01-07-000-09970</t>
        </is>
      </c>
      <c r="B12" t="inlineStr">
        <is>
          <t>DOWN COMER</t>
        </is>
      </c>
      <c r="C12" t="inlineStr">
        <is>
          <t>4DC3</t>
        </is>
      </c>
      <c r="D12" t="inlineStr">
        <is>
          <t>4p641</t>
        </is>
      </c>
      <c r="E12" t="inlineStr">
        <is>
          <t>PL8</t>
        </is>
      </c>
      <c r="F12" t="n">
        <v>83</v>
      </c>
      <c r="G12" t="n">
        <v>150</v>
      </c>
      <c r="H12" t="n">
        <v>4</v>
      </c>
      <c r="I12" t="n">
        <v>1</v>
      </c>
      <c r="J12">
        <f>H12*I12</f>
        <v/>
      </c>
      <c r="K12">
        <f>7.85*8</f>
        <v/>
      </c>
      <c r="L12">
        <f>(F12/1000)*(G12/1000)*H12*K12</f>
        <v/>
      </c>
      <c r="M12">
        <f>L12*I12</f>
        <v/>
      </c>
      <c r="N12" t="n">
        <v>3.13</v>
      </c>
      <c r="O12">
        <f>N12*I12</f>
        <v/>
      </c>
      <c r="P12">
        <f>M12-O12</f>
        <v/>
      </c>
      <c r="Q12" t="inlineStr">
        <is>
          <t>E350A</t>
        </is>
      </c>
      <c r="R12" t="inlineStr">
        <is>
          <t>7.85 x t</t>
        </is>
      </c>
      <c r="S12" t="inlineStr"/>
    </row>
    <row r="13">
      <c r="A13" t="inlineStr">
        <is>
          <t>TST-SFD-46-01-01-07-000-09970</t>
        </is>
      </c>
      <c r="B13" t="inlineStr">
        <is>
          <t>DOWN COMER</t>
        </is>
      </c>
      <c r="C13" t="inlineStr">
        <is>
          <t>4DC3</t>
        </is>
      </c>
      <c r="D13" t="inlineStr">
        <is>
          <t>4p660</t>
        </is>
      </c>
      <c r="E13" t="inlineStr">
        <is>
          <t>PL10</t>
        </is>
      </c>
      <c r="F13" t="n">
        <v>358</v>
      </c>
      <c r="G13" t="n">
        <v>358.3</v>
      </c>
      <c r="H13" t="n">
        <v>2</v>
      </c>
      <c r="I13" t="n">
        <v>1</v>
      </c>
      <c r="J13">
        <f>H13*I13</f>
        <v/>
      </c>
      <c r="K13">
        <f>7.85*10</f>
        <v/>
      </c>
      <c r="L13">
        <f>(F13/1000)*(G13/1000)*H13*K13</f>
        <v/>
      </c>
      <c r="M13">
        <f>L13*I13</f>
        <v/>
      </c>
      <c r="N13" t="n">
        <v>20.15</v>
      </c>
      <c r="O13">
        <f>N13*I13</f>
        <v/>
      </c>
      <c r="P13">
        <f>M13-O13</f>
        <v/>
      </c>
      <c r="Q13" t="inlineStr">
        <is>
          <t>E350A</t>
        </is>
      </c>
      <c r="R13" t="inlineStr">
        <is>
          <t>7.85 x t</t>
        </is>
      </c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drawing_no</t>
        </is>
      </c>
      <c r="B1" t="inlineStr">
        <is>
          <t>rev</t>
        </is>
      </c>
      <c r="C1" t="inlineStr">
        <is>
          <t>sheet</t>
        </is>
      </c>
      <c r="D1" t="inlineStr">
        <is>
          <t>size</t>
        </is>
      </c>
      <c r="E1" t="inlineStr">
        <is>
          <t>weight_kg</t>
        </is>
      </c>
      <c r="F1" t="inlineStr">
        <is>
          <t>department</t>
        </is>
      </c>
      <c r="G1" t="inlineStr">
        <is>
          <t>equip_area</t>
        </is>
      </c>
      <c r="H1" t="inlineStr">
        <is>
          <t>project</t>
        </is>
      </c>
      <c r="I1" t="inlineStr">
        <is>
          <t>title</t>
        </is>
      </c>
      <c r="J1" t="inlineStr">
        <is>
          <t>drawn</t>
        </is>
      </c>
      <c r="K1" t="inlineStr">
        <is>
          <t>checked</t>
        </is>
      </c>
      <c r="L1" t="inlineStr">
        <is>
          <t>approved</t>
        </is>
      </c>
      <c r="M1" t="inlineStr">
        <is>
          <t>assembly_mark</t>
        </is>
      </c>
      <c r="N1" t="inlineStr">
        <is>
          <t>erection_locations</t>
        </is>
      </c>
      <c r="O1" t="inlineStr">
        <is>
          <t>source_file</t>
        </is>
      </c>
    </row>
    <row r="2">
      <c r="A2" t="inlineStr">
        <is>
          <t>TST-SFD-46-01-01-07-000-09970</t>
        </is>
      </c>
      <c r="B2" t="inlineStr">
        <is>
          <t>0</t>
        </is>
      </c>
      <c r="C2" t="inlineStr">
        <is>
          <t>1 OF 1</t>
        </is>
      </c>
      <c r="D2" t="inlineStr">
        <is>
          <t>A1</t>
        </is>
      </c>
      <c r="E2" t="n">
        <v>432.62</v>
      </c>
      <c r="F2" t="inlineStr">
        <is>
          <t>DESIGN &amp; ENGINEERING-STRUCTURAL</t>
        </is>
      </c>
      <c r="G2" t="inlineStr">
        <is>
          <t>HOT ROLLED PICKLING GALVANIZED LINE (HRPGL)</t>
        </is>
      </c>
      <c r="H2" t="inlineStr"/>
      <c r="I2" t="inlineStr">
        <is>
          <t>SHED FOR POCIL PLOT LOT-4 / DETAIL OF DOWN COMER MKD AS -4DC3</t>
        </is>
      </c>
      <c r="J2" t="inlineStr">
        <is>
          <t>IRCON 27.02.2026</t>
        </is>
      </c>
      <c r="K2" t="inlineStr">
        <is>
          <t>SKS/NBT 27.02.2026</t>
        </is>
      </c>
      <c r="L2" t="inlineStr">
        <is>
          <t>SSA 27.02.2026</t>
        </is>
      </c>
      <c r="M2" t="inlineStr">
        <is>
          <t>4DC3</t>
        </is>
      </c>
      <c r="N2" t="inlineStr">
        <is>
          <t>5/&lt;LEG-1 EL. +4.475</t>
        </is>
      </c>
      <c r="O2" t="inlineStr">
        <is>
          <t>TST-SFD-46-01-01-07-000-09970_20260808171139762.pdf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</t>
        </is>
      </c>
      <c r="C1" t="inlineStr">
        <is>
          <t>length_mm</t>
        </is>
      </c>
      <c r="D1" t="inlineStr">
        <is>
          <t>qty</t>
        </is>
      </c>
      <c r="E1" t="inlineStr">
        <is>
          <t>pc_wt</t>
        </is>
      </c>
      <c r="F1" t="inlineStr">
        <is>
          <t>net_kg</t>
        </is>
      </c>
      <c r="G1" t="inlineStr">
        <is>
          <t>gross_kg</t>
        </is>
      </c>
      <c r="H1" t="inlineStr">
        <is>
          <t>material</t>
        </is>
      </c>
      <c r="I1" t="inlineStr">
        <is>
          <t>remarks</t>
        </is>
      </c>
      <c r="J1" t="inlineStr">
        <is>
          <t>surface_area_m2</t>
        </is>
      </c>
      <c r="K1" t="inlineStr">
        <is>
          <t>assembly_mark</t>
        </is>
      </c>
      <c r="L1" t="inlineStr">
        <is>
          <t>assembly_qty</t>
        </is>
      </c>
      <c r="M1" t="inlineStr">
        <is>
          <t>drawing_no</t>
        </is>
      </c>
    </row>
    <row r="2">
      <c r="A2" t="inlineStr">
        <is>
          <t>4DC3</t>
        </is>
      </c>
      <c r="B2" t="inlineStr">
        <is>
          <t>PIPE508*6</t>
        </is>
      </c>
      <c r="C2" t="n">
        <v>2233.9</v>
      </c>
      <c r="D2" t="n">
        <v>1</v>
      </c>
      <c r="E2" t="n">
        <v>155.47</v>
      </c>
      <c r="F2" t="n">
        <v>155.47</v>
      </c>
      <c r="G2" t="n">
        <v>155.47</v>
      </c>
      <c r="H2" t="inlineStr">
        <is>
          <t>YST 240</t>
        </is>
      </c>
      <c r="I2" t="inlineStr"/>
      <c r="J2" t="n">
        <v>3.36</v>
      </c>
      <c r="K2" t="inlineStr">
        <is>
          <t>4DC3</t>
        </is>
      </c>
      <c r="L2" t="n">
        <v>1</v>
      </c>
      <c r="M2" t="inlineStr">
        <is>
          <t>TST-SFD-46-01-01-07-000-09970</t>
        </is>
      </c>
    </row>
    <row r="3">
      <c r="A3" t="inlineStr">
        <is>
          <t>4m665</t>
        </is>
      </c>
      <c r="B3" t="inlineStr">
        <is>
          <t>PIPE508*6</t>
        </is>
      </c>
      <c r="C3" t="n">
        <v>2054.9</v>
      </c>
      <c r="D3" t="n">
        <v>1</v>
      </c>
      <c r="E3" t="n">
        <v>132.45</v>
      </c>
      <c r="F3" t="n">
        <v>130.65</v>
      </c>
      <c r="G3" t="n">
        <v>132.45</v>
      </c>
      <c r="H3" t="inlineStr">
        <is>
          <t>YST 240</t>
        </is>
      </c>
      <c r="I3" t="inlineStr"/>
      <c r="J3" t="n">
        <v>2.83</v>
      </c>
      <c r="K3" t="inlineStr">
        <is>
          <t>4DC3</t>
        </is>
      </c>
      <c r="L3" t="n">
        <v>1</v>
      </c>
      <c r="M3" t="inlineStr">
        <is>
          <t>TST-SFD-46-01-01-07-000-09970</t>
        </is>
      </c>
    </row>
    <row r="4">
      <c r="A4" t="inlineStr">
        <is>
          <t>4m666</t>
        </is>
      </c>
      <c r="B4" t="inlineStr">
        <is>
          <t>PIPE508*6</t>
        </is>
      </c>
      <c r="C4" t="n">
        <v>1184.2</v>
      </c>
      <c r="D4" t="n">
        <v>1</v>
      </c>
      <c r="E4" t="n">
        <v>77.81999999999999</v>
      </c>
      <c r="F4" t="n">
        <v>77.81999999999999</v>
      </c>
      <c r="G4" t="n">
        <v>77.81999999999999</v>
      </c>
      <c r="H4" t="inlineStr">
        <is>
          <t>YST 240</t>
        </is>
      </c>
      <c r="I4" t="inlineStr"/>
      <c r="J4" t="n">
        <v>1.69</v>
      </c>
      <c r="K4" t="inlineStr">
        <is>
          <t>4DC3</t>
        </is>
      </c>
      <c r="L4" t="n">
        <v>1</v>
      </c>
      <c r="M4" t="inlineStr">
        <is>
          <t>TST-SFD-46-01-01-07-000-09970</t>
        </is>
      </c>
    </row>
    <row r="5">
      <c r="A5" t="inlineStr">
        <is>
          <t>4m706</t>
        </is>
      </c>
      <c r="B5" t="inlineStr">
        <is>
          <t>PIPE219.1*5.4</t>
        </is>
      </c>
      <c r="C5" t="n">
        <v>325.3</v>
      </c>
      <c r="D5" t="n">
        <v>1</v>
      </c>
      <c r="E5" t="n">
        <v>9.18</v>
      </c>
      <c r="F5" t="n">
        <v>8.82</v>
      </c>
      <c r="G5" t="n">
        <v>9.18</v>
      </c>
      <c r="H5" t="inlineStr">
        <is>
          <t>YST 240</t>
        </is>
      </c>
      <c r="I5" t="inlineStr"/>
      <c r="J5" t="n">
        <v>0.22</v>
      </c>
      <c r="K5" t="inlineStr">
        <is>
          <t>4DC3</t>
        </is>
      </c>
      <c r="L5" t="n">
        <v>1</v>
      </c>
      <c r="M5" t="inlineStr">
        <is>
          <t>TST-SFD-46-01-01-07-000-09970</t>
        </is>
      </c>
    </row>
    <row r="6">
      <c r="A6" t="inlineStr">
        <is>
          <t>4m707</t>
        </is>
      </c>
      <c r="B6" t="inlineStr">
        <is>
          <t>ROD20</t>
        </is>
      </c>
      <c r="C6" t="n">
        <v>301.4</v>
      </c>
      <c r="D6" t="n">
        <v>1</v>
      </c>
      <c r="E6" t="n">
        <v>0.74</v>
      </c>
      <c r="F6" t="n">
        <v>0.74</v>
      </c>
      <c r="G6" t="n">
        <v>0.74</v>
      </c>
      <c r="H6" t="inlineStr">
        <is>
          <t>E250A</t>
        </is>
      </c>
      <c r="I6" t="inlineStr"/>
      <c r="J6" t="n">
        <v>0.02</v>
      </c>
      <c r="K6" t="inlineStr">
        <is>
          <t>4DC3</t>
        </is>
      </c>
      <c r="L6" t="n">
        <v>1</v>
      </c>
      <c r="M6" t="inlineStr">
        <is>
          <t>TST-SFD-46-01-01-07-000-09970</t>
        </is>
      </c>
    </row>
    <row r="7">
      <c r="A7" t="inlineStr">
        <is>
          <t>4p637</t>
        </is>
      </c>
      <c r="B7" t="inlineStr">
        <is>
          <t>PL10*150</t>
        </is>
      </c>
      <c r="C7" t="n">
        <v>832.5</v>
      </c>
      <c r="D7" t="n">
        <v>2</v>
      </c>
      <c r="E7" t="n">
        <v>9.800000000000001</v>
      </c>
      <c r="F7" t="n">
        <v>19.6</v>
      </c>
      <c r="G7" t="n">
        <v>19.61</v>
      </c>
      <c r="H7" t="inlineStr">
        <is>
          <t>E350A</t>
        </is>
      </c>
      <c r="I7" t="inlineStr"/>
      <c r="J7" t="n">
        <v>0.27</v>
      </c>
      <c r="K7" t="inlineStr">
        <is>
          <t>4DC3</t>
        </is>
      </c>
      <c r="L7" t="n">
        <v>1</v>
      </c>
      <c r="M7" t="inlineStr">
        <is>
          <t>TST-SFD-46-01-01-07-000-09970</t>
        </is>
      </c>
    </row>
    <row r="8">
      <c r="A8" t="inlineStr">
        <is>
          <t>4p638</t>
        </is>
      </c>
      <c r="B8" t="inlineStr">
        <is>
          <t>PL6*50</t>
        </is>
      </c>
      <c r="C8" t="n">
        <v>807.4</v>
      </c>
      <c r="D8" t="n">
        <v>2</v>
      </c>
      <c r="E8" t="n">
        <v>1.9</v>
      </c>
      <c r="F8" t="n">
        <v>3.8</v>
      </c>
      <c r="G8" t="n">
        <v>3.8</v>
      </c>
      <c r="H8" t="inlineStr">
        <is>
          <t>E350A</t>
        </is>
      </c>
      <c r="I8" t="inlineStr"/>
      <c r="J8" t="n">
        <v>0.09</v>
      </c>
      <c r="K8" t="inlineStr">
        <is>
          <t>4DC3</t>
        </is>
      </c>
      <c r="L8" t="n">
        <v>1</v>
      </c>
      <c r="M8" t="inlineStr">
        <is>
          <t>TST-SFD-46-01-01-07-000-09970</t>
        </is>
      </c>
    </row>
    <row r="9">
      <c r="A9" t="inlineStr">
        <is>
          <t>4p639</t>
        </is>
      </c>
      <c r="B9" t="inlineStr">
        <is>
          <t>PL8*94</t>
        </is>
      </c>
      <c r="C9" t="n">
        <v>150</v>
      </c>
      <c r="D9" t="n">
        <v>4</v>
      </c>
      <c r="E9" t="n">
        <v>0.89</v>
      </c>
      <c r="F9" t="n">
        <v>3.27</v>
      </c>
      <c r="G9" t="n">
        <v>3.55</v>
      </c>
      <c r="H9" t="inlineStr">
        <is>
          <t>E350A</t>
        </is>
      </c>
      <c r="I9" t="inlineStr"/>
      <c r="J9" t="n">
        <v>0.03</v>
      </c>
      <c r="K9" t="inlineStr">
        <is>
          <t>4DC3</t>
        </is>
      </c>
      <c r="L9" t="n">
        <v>1</v>
      </c>
      <c r="M9" t="inlineStr">
        <is>
          <t>TST-SFD-46-01-01-07-000-09970</t>
        </is>
      </c>
    </row>
    <row r="10">
      <c r="A10" t="inlineStr">
        <is>
          <t>4p640</t>
        </is>
      </c>
      <c r="B10" t="inlineStr">
        <is>
          <t>PL8*155</t>
        </is>
      </c>
      <c r="C10" t="n">
        <v>173</v>
      </c>
      <c r="D10" t="n">
        <v>4</v>
      </c>
      <c r="E10" t="n">
        <v>1.68</v>
      </c>
      <c r="F10" t="n">
        <v>6.7</v>
      </c>
      <c r="G10" t="n">
        <v>6.72</v>
      </c>
      <c r="H10" t="inlineStr">
        <is>
          <t>E350A</t>
        </is>
      </c>
      <c r="I10" t="inlineStr"/>
      <c r="J10" t="n">
        <v>0.06</v>
      </c>
      <c r="K10" t="inlineStr">
        <is>
          <t>4DC3</t>
        </is>
      </c>
      <c r="L10" t="n">
        <v>1</v>
      </c>
      <c r="M10" t="inlineStr">
        <is>
          <t>TST-SFD-46-01-01-07-000-09970</t>
        </is>
      </c>
    </row>
    <row r="11">
      <c r="A11" t="inlineStr">
        <is>
          <t>4p641</t>
        </is>
      </c>
      <c r="B11" t="inlineStr">
        <is>
          <t>PL8*83</t>
        </is>
      </c>
      <c r="C11" t="n">
        <v>150</v>
      </c>
      <c r="D11" t="n">
        <v>4</v>
      </c>
      <c r="E11" t="n">
        <v>0.78</v>
      </c>
      <c r="F11" t="n">
        <v>2.37</v>
      </c>
      <c r="G11" t="n">
        <v>3.13</v>
      </c>
      <c r="H11" t="inlineStr">
        <is>
          <t>E350A</t>
        </is>
      </c>
      <c r="I11" t="inlineStr"/>
      <c r="J11" t="n">
        <v>0.02</v>
      </c>
      <c r="K11" t="inlineStr">
        <is>
          <t>4DC3</t>
        </is>
      </c>
      <c r="L11" t="n">
        <v>1</v>
      </c>
      <c r="M11" t="inlineStr">
        <is>
          <t>TST-SFD-46-01-01-07-000-09970</t>
        </is>
      </c>
    </row>
    <row r="12">
      <c r="A12" t="inlineStr">
        <is>
          <t>4p660</t>
        </is>
      </c>
      <c r="B12" t="inlineStr">
        <is>
          <t>PL10*358</t>
        </is>
      </c>
      <c r="C12" t="n">
        <v>358.3</v>
      </c>
      <c r="D12" t="n">
        <v>2</v>
      </c>
      <c r="E12" t="n">
        <v>10.08</v>
      </c>
      <c r="F12" t="n">
        <v>15.88</v>
      </c>
      <c r="G12" t="n">
        <v>20.15</v>
      </c>
      <c r="H12" t="inlineStr">
        <is>
          <t>E350A</t>
        </is>
      </c>
      <c r="I12" t="inlineStr"/>
      <c r="J12" t="n">
        <v>0.21</v>
      </c>
      <c r="K12" t="inlineStr">
        <is>
          <t>4DC3</t>
        </is>
      </c>
      <c r="L12" t="n">
        <v>1</v>
      </c>
      <c r="M12" t="inlineStr">
        <is>
          <t>TST-SFD-46-01-01-07-000-09970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mark_no</t>
        </is>
      </c>
      <c r="B1" t="inlineStr">
        <is>
          <t>grid_location</t>
        </is>
      </c>
      <c r="C1" t="inlineStr">
        <is>
          <t>level</t>
        </is>
      </c>
    </row>
    <row r="2">
      <c r="A2" t="inlineStr">
        <is>
          <t>4DC3</t>
        </is>
      </c>
      <c r="B2" t="inlineStr">
        <is>
          <t>5/&lt;LEG-1</t>
        </is>
      </c>
      <c r="C2" t="inlineStr">
        <is>
          <t>EL. +4.475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description</t>
        </is>
      </c>
      <c r="C1" t="inlineStr">
        <is>
          <t>total_wt</t>
        </is>
      </c>
    </row>
    <row r="2">
      <c r="A2" t="n">
        <v>1</v>
      </c>
      <c r="B2" t="inlineStr">
        <is>
          <t>PIPE219.1*5.4</t>
        </is>
      </c>
      <c r="C2" t="n">
        <v>9.18</v>
      </c>
    </row>
    <row r="3">
      <c r="A3" t="n">
        <v>2</v>
      </c>
      <c r="B3" t="inlineStr">
        <is>
          <t>PIPE508*6</t>
        </is>
      </c>
      <c r="C3" t="n">
        <v>365.74</v>
      </c>
    </row>
    <row r="4">
      <c r="A4" t="n">
        <v>3</v>
      </c>
      <c r="B4" t="inlineStr">
        <is>
          <t>ROD20</t>
        </is>
      </c>
      <c r="C4" t="n">
        <v>0.74</v>
      </c>
    </row>
    <row r="5">
      <c r="A5" t="n">
        <v>4</v>
      </c>
      <c r="B5" t="inlineStr">
        <is>
          <t>PL 6 THK</t>
        </is>
      </c>
      <c r="C5" t="n">
        <v>3.8</v>
      </c>
    </row>
    <row r="6">
      <c r="A6" t="n">
        <v>5</v>
      </c>
      <c r="B6" t="inlineStr">
        <is>
          <t>PL 8 THK</t>
        </is>
      </c>
      <c r="C6" t="n">
        <v>13.4</v>
      </c>
    </row>
    <row r="7">
      <c r="A7" t="n">
        <v>6</v>
      </c>
      <c r="B7" t="inlineStr">
        <is>
          <t>PL 10 THK</t>
        </is>
      </c>
      <c r="C7" t="n">
        <v>39.76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assembly_mark</t>
        </is>
      </c>
      <c r="B1" t="inlineStr">
        <is>
          <t>bolt_dia</t>
        </is>
      </c>
      <c r="C1" t="inlineStr">
        <is>
          <t>bolt_type</t>
        </is>
      </c>
      <c r="D1" t="inlineStr">
        <is>
          <t>bolt_length</t>
        </is>
      </c>
      <c r="E1" t="inlineStr">
        <is>
          <t>bolt_qty</t>
        </is>
      </c>
      <c r="F1" t="inlineStr">
        <is>
          <t>bolt_grade</t>
        </is>
      </c>
      <c r="G1" t="inlineStr">
        <is>
          <t>bolt_spec</t>
        </is>
      </c>
      <c r="H1" t="inlineStr">
        <is>
          <t>bolt_material</t>
        </is>
      </c>
      <c r="I1" t="inlineStr">
        <is>
          <t>nut_dia</t>
        </is>
      </c>
      <c r="J1" t="inlineStr">
        <is>
          <t>nut_qty</t>
        </is>
      </c>
      <c r="K1" t="inlineStr">
        <is>
          <t>nut_grade</t>
        </is>
      </c>
      <c r="L1" t="inlineStr">
        <is>
          <t>nut_spec</t>
        </is>
      </c>
      <c r="M1" t="inlineStr">
        <is>
          <t>nut_material</t>
        </is>
      </c>
      <c r="N1" t="inlineStr">
        <is>
          <t>washer_dia</t>
        </is>
      </c>
      <c r="O1" t="inlineStr">
        <is>
          <t>washer_type</t>
        </is>
      </c>
      <c r="P1" t="inlineStr">
        <is>
          <t>washer_qty</t>
        </is>
      </c>
      <c r="Q1" t="inlineStr">
        <is>
          <t>washer_spec</t>
        </is>
      </c>
      <c r="R1" t="inlineStr">
        <is>
          <t>washer_material</t>
        </is>
      </c>
      <c r="S1" t="inlineStr">
        <is>
          <t>taper_dia</t>
        </is>
      </c>
      <c r="T1" t="inlineStr">
        <is>
          <t>taper_type</t>
        </is>
      </c>
      <c r="U1" t="inlineStr">
        <is>
          <t>taper_qty</t>
        </is>
      </c>
      <c r="V1" t="inlineStr">
        <is>
          <t>taper_spec</t>
        </is>
      </c>
      <c r="W1" t="inlineStr">
        <is>
          <t>taper_material</t>
        </is>
      </c>
    </row>
    <row r="2">
      <c r="A2" t="inlineStr"/>
      <c r="B2" t="inlineStr">
        <is>
          <t>16</t>
        </is>
      </c>
      <c r="C2" t="inlineStr">
        <is>
          <t>HEX</t>
        </is>
      </c>
      <c r="D2" t="inlineStr">
        <is>
          <t>60</t>
        </is>
      </c>
      <c r="E2" t="inlineStr">
        <is>
          <t>10</t>
        </is>
      </c>
      <c r="F2" t="inlineStr">
        <is>
          <t>8.8XOX</t>
        </is>
      </c>
      <c r="G2" t="inlineStr">
        <is>
          <t>IS:1364(II)-2023</t>
        </is>
      </c>
      <c r="H2" t="inlineStr">
        <is>
          <t>IS:1367 (I) 2014</t>
        </is>
      </c>
      <c r="I2" t="inlineStr">
        <is>
          <t>16</t>
        </is>
      </c>
      <c r="J2" t="inlineStr">
        <is>
          <t>10</t>
        </is>
      </c>
      <c r="K2" t="inlineStr">
        <is>
          <t>8.8XOX</t>
        </is>
      </c>
      <c r="L2" t="inlineStr">
        <is>
          <t>IS:1364(III)-2018</t>
        </is>
      </c>
      <c r="M2" t="inlineStr">
        <is>
          <t>IS:1367 (VI) 2025</t>
        </is>
      </c>
      <c r="N2" t="inlineStr">
        <is>
          <t>18</t>
        </is>
      </c>
      <c r="O2" t="inlineStr">
        <is>
          <t>FLAT-E</t>
        </is>
      </c>
      <c r="P2" t="inlineStr">
        <is>
          <t>10</t>
        </is>
      </c>
      <c r="Q2" t="inlineStr">
        <is>
          <t>IS:2016 - 1967</t>
        </is>
      </c>
      <c r="R2" t="inlineStr">
        <is>
          <t>IS:1570 (II) 1979</t>
        </is>
      </c>
      <c r="S2" t="inlineStr"/>
      <c r="T2" t="inlineStr"/>
      <c r="U2" t="inlineStr"/>
      <c r="V2" t="inlineStr"/>
      <c r="W2" t="inlineStr"/>
    </row>
    <row r="3">
      <c r="A3" t="inlineStr">
        <is>
          <t>4PSB2</t>
        </is>
      </c>
      <c r="B3" t="inlineStr">
        <is>
          <t>16</t>
        </is>
      </c>
      <c r="C3" t="inlineStr">
        <is>
          <t>HEX</t>
        </is>
      </c>
      <c r="D3" t="inlineStr">
        <is>
          <t>60</t>
        </is>
      </c>
      <c r="E3" t="inlineStr">
        <is>
          <t>4</t>
        </is>
      </c>
      <c r="F3" t="inlineStr">
        <is>
          <t>8.8XOX</t>
        </is>
      </c>
      <c r="G3" t="inlineStr">
        <is>
          <t>IS:1364(II)-2023</t>
        </is>
      </c>
      <c r="H3" t="inlineStr">
        <is>
          <t>IS:1367 (I) 2014</t>
        </is>
      </c>
      <c r="I3" t="inlineStr">
        <is>
          <t>16</t>
        </is>
      </c>
      <c r="J3" t="inlineStr">
        <is>
          <t>8</t>
        </is>
      </c>
      <c r="K3" t="inlineStr">
        <is>
          <t>8.8XOX</t>
        </is>
      </c>
      <c r="L3" t="inlineStr">
        <is>
          <t>IS:1364(III)-2018</t>
        </is>
      </c>
      <c r="M3" t="inlineStr">
        <is>
          <t>IS:1367 (VI) 2025</t>
        </is>
      </c>
      <c r="N3" t="inlineStr">
        <is>
          <t>18</t>
        </is>
      </c>
      <c r="O3" t="inlineStr">
        <is>
          <t>FLAT-E</t>
        </is>
      </c>
      <c r="P3" t="inlineStr">
        <is>
          <t>4</t>
        </is>
      </c>
      <c r="Q3" t="inlineStr">
        <is>
          <t>IS:2016 - 1967</t>
        </is>
      </c>
      <c r="R3" t="inlineStr">
        <is>
          <t>IS:1570 (II) 1979</t>
        </is>
      </c>
      <c r="S3" t="inlineStr">
        <is>
          <t>16</t>
        </is>
      </c>
      <c r="T3" t="inlineStr">
        <is>
          <t>C</t>
        </is>
      </c>
      <c r="U3" t="inlineStr"/>
      <c r="V3" t="inlineStr">
        <is>
          <t>IS:6649-1985</t>
        </is>
      </c>
      <c r="W3" t="inlineStr">
        <is>
          <t>IS:1570(P-II)1979</t>
        </is>
      </c>
    </row>
    <row r="4">
      <c r="A4" t="inlineStr">
        <is>
          <t>4PSB5</t>
        </is>
      </c>
      <c r="B4" t="inlineStr">
        <is>
          <t>16</t>
        </is>
      </c>
      <c r="C4" t="inlineStr">
        <is>
          <t>HEX</t>
        </is>
      </c>
      <c r="D4" t="inlineStr">
        <is>
          <t>60</t>
        </is>
      </c>
      <c r="E4" t="inlineStr">
        <is>
          <t>2</t>
        </is>
      </c>
      <c r="F4" t="inlineStr">
        <is>
          <t>8.8XOX</t>
        </is>
      </c>
      <c r="G4" t="inlineStr">
        <is>
          <t>IS:1364(II)-2023</t>
        </is>
      </c>
      <c r="H4" t="inlineStr">
        <is>
          <t>IS:1367 (I) 2014</t>
        </is>
      </c>
      <c r="I4" t="inlineStr">
        <is>
          <t>16</t>
        </is>
      </c>
      <c r="J4" t="inlineStr">
        <is>
          <t>4</t>
        </is>
      </c>
      <c r="K4" t="inlineStr">
        <is>
          <t>8.8XOX</t>
        </is>
      </c>
      <c r="L4" t="inlineStr">
        <is>
          <t>IS:1364(III)-2018</t>
        </is>
      </c>
      <c r="M4" t="inlineStr">
        <is>
          <t>IS:1367 (VI) 2025</t>
        </is>
      </c>
      <c r="N4" t="inlineStr">
        <is>
          <t>18</t>
        </is>
      </c>
      <c r="O4" t="inlineStr">
        <is>
          <t>FLAT-E</t>
        </is>
      </c>
      <c r="P4" t="inlineStr">
        <is>
          <t>2</t>
        </is>
      </c>
      <c r="Q4" t="inlineStr">
        <is>
          <t>IS:2016 - 1967</t>
        </is>
      </c>
      <c r="R4" t="inlineStr">
        <is>
          <t>IS:1570 (II) 1979</t>
        </is>
      </c>
      <c r="S4" t="inlineStr">
        <is>
          <t>16</t>
        </is>
      </c>
      <c r="T4" t="inlineStr">
        <is>
          <t>C</t>
        </is>
      </c>
      <c r="U4" t="inlineStr"/>
      <c r="V4" t="inlineStr">
        <is>
          <t>IS:6649-1985</t>
        </is>
      </c>
      <c r="W4" t="inlineStr">
        <is>
          <t>IS:1570(P-II)1979</t>
        </is>
      </c>
    </row>
    <row r="5">
      <c r="A5" t="inlineStr">
        <is>
          <t>4PSB6</t>
        </is>
      </c>
      <c r="B5" t="inlineStr">
        <is>
          <t>16</t>
        </is>
      </c>
      <c r="C5" t="inlineStr">
        <is>
          <t>HEX</t>
        </is>
      </c>
      <c r="D5" t="inlineStr">
        <is>
          <t>60</t>
        </is>
      </c>
      <c r="E5" t="inlineStr">
        <is>
          <t>2</t>
        </is>
      </c>
      <c r="F5" t="inlineStr">
        <is>
          <t>8.8XOX</t>
        </is>
      </c>
      <c r="G5" t="inlineStr">
        <is>
          <t>IS:1364(II)-2023</t>
        </is>
      </c>
      <c r="H5" t="inlineStr">
        <is>
          <t>IS:1367 (I) 2014</t>
        </is>
      </c>
      <c r="I5" t="inlineStr">
        <is>
          <t>16</t>
        </is>
      </c>
      <c r="J5" t="inlineStr">
        <is>
          <t>4</t>
        </is>
      </c>
      <c r="K5" t="inlineStr">
        <is>
          <t>8.8XOX</t>
        </is>
      </c>
      <c r="L5" t="inlineStr">
        <is>
          <t>IS:1364(III)-2018</t>
        </is>
      </c>
      <c r="M5" t="inlineStr">
        <is>
          <t>IS:1367 (VI) 2025</t>
        </is>
      </c>
      <c r="N5" t="inlineStr">
        <is>
          <t>18</t>
        </is>
      </c>
      <c r="O5" t="inlineStr">
        <is>
          <t>FLAT-E</t>
        </is>
      </c>
      <c r="P5" t="inlineStr">
        <is>
          <t>2</t>
        </is>
      </c>
      <c r="Q5" t="inlineStr">
        <is>
          <t>IS:2016 - 1967</t>
        </is>
      </c>
      <c r="R5" t="inlineStr">
        <is>
          <t>IS:1570 (II) 1979</t>
        </is>
      </c>
      <c r="S5" t="inlineStr">
        <is>
          <t>16</t>
        </is>
      </c>
      <c r="T5" t="inlineStr">
        <is>
          <t>C</t>
        </is>
      </c>
      <c r="U5" t="inlineStr"/>
      <c r="V5" t="inlineStr">
        <is>
          <t>IS:6649-1985</t>
        </is>
      </c>
      <c r="W5" t="inlineStr">
        <is>
          <t>IS:1570(P-II)1979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drn</t>
        </is>
      </c>
      <c r="E1" t="inlineStr">
        <is>
          <t>chd</t>
        </is>
      </c>
      <c r="F1" t="inlineStr">
        <is>
          <t>app</t>
        </is>
      </c>
    </row>
    <row r="2">
      <c r="A2" t="inlineStr">
        <is>
          <t>0</t>
        </is>
      </c>
      <c r="B2" t="inlineStr">
        <is>
          <t>27.02.2026</t>
        </is>
      </c>
      <c r="C2" t="inlineStr">
        <is>
          <t>ISSUED FOR CONSTRUCTION</t>
        </is>
      </c>
      <c r="D2" t="inlineStr">
        <is>
          <t>IRCON</t>
        </is>
      </c>
      <c r="E2" t="inlineStr">
        <is>
          <t>SKS/NBT</t>
        </is>
      </c>
      <c r="F2" t="inlineStr">
        <is>
          <t>SSA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ALL DIMENSIONS ARE IN mm &amp; LEVELS ARE IN METER(UNO)</t>
        </is>
      </c>
    </row>
    <row r="3">
      <c r="A3" t="inlineStr">
        <is>
          <t>2. ALL WELDS SHALL BE 6MM FILLET WELDS U.N.O.</t>
        </is>
      </c>
    </row>
    <row r="4">
      <c r="A4" t="inlineStr">
        <is>
          <t>3. FOR MARKING REF. DRG. NO. TST-SFD-46-01-01-07-000-09800 TO 09822</t>
        </is>
      </c>
    </row>
    <row r="5">
      <c r="A5" t="inlineStr">
        <is>
          <t>4. ALL PERMANENT BOLTS ARE FULL THREADED.</t>
        </is>
      </c>
    </row>
    <row r="6">
      <c r="A6" t="inlineStr">
        <is>
          <t>5. ERECTION BOLT/”C” CLAMP/”L” CLAMP AS APPLICABLE SHALL BE USED DURING STRUCTURAL ASSEMBLY IN FABRICATION SHOP.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kind</t>
        </is>
      </c>
      <c r="C1" t="inlineStr">
        <is>
          <t>ref</t>
        </is>
      </c>
      <c r="D1" t="inlineStr">
        <is>
          <t>scale</t>
        </is>
      </c>
      <c r="E1" t="inlineStr">
        <is>
          <t>cell</t>
        </is>
      </c>
    </row>
    <row r="2">
      <c r="A2" t="inlineStr">
        <is>
          <t>A - A</t>
        </is>
      </c>
      <c r="B2" t="inlineStr">
        <is>
          <t>section</t>
        </is>
      </c>
      <c r="C2" t="inlineStr">
        <is>
          <t>A</t>
        </is>
      </c>
      <c r="D2" t="inlineStr">
        <is>
          <t>1:10</t>
        </is>
      </c>
      <c r="E2" t="inlineStr">
        <is>
          <t>D8</t>
        </is>
      </c>
    </row>
    <row r="3">
      <c r="A3" t="inlineStr">
        <is>
          <t>B - B</t>
        </is>
      </c>
      <c r="B3" t="inlineStr">
        <is>
          <t>section</t>
        </is>
      </c>
      <c r="C3" t="inlineStr">
        <is>
          <t>B</t>
        </is>
      </c>
      <c r="D3" t="inlineStr">
        <is>
          <t>1:10</t>
        </is>
      </c>
      <c r="E3" t="inlineStr">
        <is>
          <t>F8</t>
        </is>
      </c>
    </row>
    <row r="4">
      <c r="A4" t="inlineStr">
        <is>
          <t>C - C</t>
        </is>
      </c>
      <c r="B4" t="inlineStr">
        <is>
          <t>section</t>
        </is>
      </c>
      <c r="C4" t="inlineStr">
        <is>
          <t>C</t>
        </is>
      </c>
      <c r="D4" t="inlineStr">
        <is>
          <t>1:10</t>
        </is>
      </c>
      <c r="E4" t="inlineStr">
        <is>
          <t>H8</t>
        </is>
      </c>
    </row>
    <row r="5">
      <c r="A5" t="inlineStr">
        <is>
          <t>D - D</t>
        </is>
      </c>
      <c r="B5" t="inlineStr">
        <is>
          <t>section</t>
        </is>
      </c>
      <c r="C5" t="inlineStr">
        <is>
          <t>D</t>
        </is>
      </c>
      <c r="D5" t="inlineStr">
        <is>
          <t>1:10</t>
        </is>
      </c>
      <c r="E5" t="inlineStr">
        <is>
          <t>K8</t>
        </is>
      </c>
    </row>
    <row r="6">
      <c r="A6" t="inlineStr">
        <is>
          <t>MARK. NO:- 4DC3</t>
        </is>
      </c>
      <c r="B6" t="inlineStr">
        <is>
          <t>detail</t>
        </is>
      </c>
      <c r="C6" t="inlineStr">
        <is>
          <t>4DC3</t>
        </is>
      </c>
      <c r="D6" t="inlineStr"/>
      <c r="E6" t="inlineStr">
        <is>
          <t>H12</t>
        </is>
      </c>
    </row>
    <row r="7">
      <c r="A7" t="inlineStr">
        <is>
          <t>MARK. NO:- 4m666</t>
        </is>
      </c>
      <c r="B7" t="inlineStr">
        <is>
          <t>detail</t>
        </is>
      </c>
      <c r="C7" t="inlineStr">
        <is>
          <t>4m666</t>
        </is>
      </c>
      <c r="D7" t="inlineStr"/>
      <c r="E7" t="inlineStr">
        <is>
          <t>F11</t>
        </is>
      </c>
    </row>
    <row r="8">
      <c r="A8" t="inlineStr">
        <is>
          <t>MARK. NO:- 4p637</t>
        </is>
      </c>
      <c r="B8" t="inlineStr">
        <is>
          <t>detail</t>
        </is>
      </c>
      <c r="C8" t="inlineStr">
        <is>
          <t>4p637</t>
        </is>
      </c>
      <c r="D8" t="inlineStr"/>
      <c r="E8" t="inlineStr">
        <is>
          <t>H14</t>
        </is>
      </c>
    </row>
    <row r="9">
      <c r="A9" t="inlineStr">
        <is>
          <t>MARK. NO:- 4p638</t>
        </is>
      </c>
      <c r="B9" t="inlineStr">
        <is>
          <t>detail</t>
        </is>
      </c>
      <c r="C9" t="inlineStr">
        <is>
          <t>4p638</t>
        </is>
      </c>
      <c r="D9" t="inlineStr"/>
      <c r="E9" t="inlineStr">
        <is>
          <t>F12</t>
        </is>
      </c>
    </row>
    <row r="10">
      <c r="A10" t="inlineStr">
        <is>
          <t>MARK. NO:- 4p639</t>
        </is>
      </c>
      <c r="B10" t="inlineStr">
        <is>
          <t>detail</t>
        </is>
      </c>
      <c r="C10" t="inlineStr">
        <is>
          <t>4p639</t>
        </is>
      </c>
      <c r="D10" t="inlineStr"/>
      <c r="E10" t="inlineStr">
        <is>
          <t>E14</t>
        </is>
      </c>
    </row>
    <row r="11">
      <c r="A11" t="inlineStr">
        <is>
          <t>MARK. NO:- 4p640</t>
        </is>
      </c>
      <c r="B11" t="inlineStr">
        <is>
          <t>detail</t>
        </is>
      </c>
      <c r="C11" t="inlineStr">
        <is>
          <t>4p640</t>
        </is>
      </c>
      <c r="D11" t="inlineStr"/>
      <c r="E11" t="inlineStr">
        <is>
          <t>F14</t>
        </is>
      </c>
    </row>
    <row r="12">
      <c r="A12" t="inlineStr">
        <is>
          <t>MARK. NO:- 4p641</t>
        </is>
      </c>
      <c r="B12" t="inlineStr">
        <is>
          <t>detail</t>
        </is>
      </c>
      <c r="C12" t="inlineStr">
        <is>
          <t>4p641</t>
        </is>
      </c>
      <c r="D12" t="inlineStr"/>
      <c r="E12" t="inlineStr">
        <is>
          <t>G11</t>
        </is>
      </c>
    </row>
    <row r="13">
      <c r="A13" t="inlineStr">
        <is>
          <t>MARK. NO:- 4p660</t>
        </is>
      </c>
      <c r="B13" t="inlineStr">
        <is>
          <t>detail</t>
        </is>
      </c>
      <c r="C13" t="inlineStr">
        <is>
          <t>4p660</t>
        </is>
      </c>
      <c r="D13" t="inlineStr"/>
      <c r="E13" t="inlineStr">
        <is>
          <t>E15</t>
        </is>
      </c>
    </row>
    <row r="14">
      <c r="A14" t="inlineStr">
        <is>
          <t>MARK. NO:- 4m706</t>
        </is>
      </c>
      <c r="B14" t="inlineStr">
        <is>
          <t>detail</t>
        </is>
      </c>
      <c r="C14" t="inlineStr">
        <is>
          <t>4m706</t>
        </is>
      </c>
      <c r="D14" t="inlineStr"/>
      <c r="E14" t="inlineStr">
        <is>
          <t>F15</t>
        </is>
      </c>
    </row>
    <row r="15">
      <c r="A15" t="inlineStr">
        <is>
          <t>MARK. NO:- 4m707</t>
        </is>
      </c>
      <c r="B15" t="inlineStr">
        <is>
          <t>detail</t>
        </is>
      </c>
      <c r="C15" t="inlineStr">
        <is>
          <t>4m707</t>
        </is>
      </c>
      <c r="D15" t="inlineStr"/>
      <c r="E15" t="inlineStr">
        <is>
          <t>G15</t>
        </is>
      </c>
    </row>
    <row r="16">
      <c r="A16" t="inlineStr">
        <is>
          <t>MARK. NO:- 4m665</t>
        </is>
      </c>
      <c r="B16" t="inlineStr">
        <is>
          <t>detail</t>
        </is>
      </c>
      <c r="C16" t="inlineStr">
        <is>
          <t>4m665</t>
        </is>
      </c>
      <c r="D16" t="inlineStr"/>
      <c r="E16" t="inlineStr">
        <is>
          <t>E12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bom.row_arith</t>
        </is>
      </c>
      <c r="B2" t="inlineStr">
        <is>
          <t>pass</t>
        </is>
      </c>
      <c r="C2" t="inlineStr">
        <is>
          <t>All 11 rows: qty × pc wt = gross (± rounding).</t>
        </is>
      </c>
      <c r="D2" t="inlineStr">
        <is>
          <t>bom</t>
        </is>
      </c>
    </row>
    <row r="3">
      <c r="A3" t="inlineStr">
        <is>
          <t>bom.gross_total</t>
        </is>
      </c>
      <c r="B3" t="inlineStr">
        <is>
          <t>pass</t>
        </is>
      </c>
      <c r="C3" t="inlineStr">
        <is>
          <t>Σ part gross × assembly qty 1 = 432.62; grand total = 432.62.</t>
        </is>
      </c>
      <c r="D3" t="inlineStr">
        <is>
          <t>bom</t>
        </is>
      </c>
    </row>
    <row r="4">
      <c r="A4" t="inlineStr">
        <is>
          <t>bom.assembly_row</t>
        </is>
      </c>
      <c r="B4" t="inlineStr">
        <is>
          <t>pass</t>
        </is>
      </c>
      <c r="C4" t="inlineStr">
        <is>
          <t>Assembly row 4DC3 gross 432.62 vs grand total 432.62.</t>
        </is>
      </c>
      <c r="D4" t="inlineStr">
        <is>
          <t>bom</t>
        </is>
      </c>
    </row>
    <row r="5">
      <c r="A5" t="inlineStr">
        <is>
          <t>bom.net_total</t>
        </is>
      </c>
      <c r="B5" t="inlineStr">
        <is>
          <t>pass</t>
        </is>
      </c>
      <c r="C5" t="inlineStr">
        <is>
          <t>Σ part net = 425.12 (× qty 1 = 425.12); net total = 425.11. Tekla net totals often differ; informational.</t>
        </is>
      </c>
      <c r="D5" t="inlineStr">
        <is>
          <t>bom</t>
        </is>
      </c>
    </row>
    <row r="6">
      <c r="A6" t="inlineStr">
        <is>
          <t>bom.crosscheck</t>
        </is>
      </c>
      <c r="B6" t="inlineStr">
        <is>
          <t>pass</t>
        </is>
      </c>
      <c r="C6" t="inlineStr">
        <is>
          <t>find_tables() second parse agrees on every row (section, length, qty, gross, material).</t>
        </is>
      </c>
      <c r="D6" t="inlineStr">
        <is>
          <t>bom</t>
        </is>
      </c>
    </row>
    <row r="7">
      <c r="A7" t="inlineStr">
        <is>
          <t>marks.bom_on_sheet</t>
        </is>
      </c>
      <c r="B7" t="inlineStr">
        <is>
          <t>pass</t>
        </is>
      </c>
      <c r="C7" t="inlineStr">
        <is>
          <t>Every BOM mark appears on the drawing.</t>
        </is>
      </c>
      <c r="D7" t="inlineStr">
        <is>
          <t>bom</t>
        </is>
      </c>
    </row>
    <row r="8">
      <c r="A8" t="inlineStr">
        <is>
          <t>marks.extra</t>
        </is>
      </c>
      <c r="B8" t="inlineStr">
        <is>
          <t>pass</t>
        </is>
      </c>
      <c r="C8" t="inlineStr">
        <is>
          <t>Marks on sheet not in BOM (connected/referenced assemblies): ['4PSB2', '4PSB5', '4PSB6']</t>
        </is>
      </c>
      <c r="D8" t="inlineStr">
        <is>
          <t>views</t>
        </is>
      </c>
    </row>
    <row r="9">
      <c r="A9" t="inlineStr">
        <is>
          <t>title.weight</t>
        </is>
      </c>
      <c r="B9" t="inlineStr">
        <is>
          <t>pass</t>
        </is>
      </c>
      <c r="C9" t="inlineStr">
        <is>
          <t>Title block weight 432.62 vs BOM gross 432.62.</t>
        </is>
      </c>
      <c r="D9" t="inlineStr">
        <is>
          <t>title_block</t>
        </is>
      </c>
    </row>
    <row r="10">
      <c r="A10" t="inlineStr">
        <is>
          <t>mark_location.assembly</t>
        </is>
      </c>
      <c r="B10" t="inlineStr">
        <is>
          <t>pass</t>
        </is>
      </c>
      <c r="C10" t="inlineStr">
        <is>
          <t>Mark box ['4DC3'] vs BOM assembly '4DC3'.</t>
        </is>
      </c>
      <c r="D10" t="inlineStr">
        <is>
          <t>bom</t>
        </is>
      </c>
    </row>
    <row r="11">
      <c r="A11" t="inlineStr">
        <is>
          <t>mark_location.count</t>
        </is>
      </c>
      <c r="B11" t="inlineStr">
        <is>
          <t>pass</t>
        </is>
      </c>
      <c r="C11" t="inlineStr">
        <is>
          <t>1 erection location(s) listed; assembly qty 1.</t>
        </is>
      </c>
      <c r="D11" t="inlineStr">
        <is>
          <t>bom</t>
        </is>
      </c>
    </row>
    <row r="12">
      <c r="A12" t="inlineStr">
        <is>
          <t>abstract.total</t>
        </is>
      </c>
      <c r="B12" t="inlineStr">
        <is>
          <t>pass</t>
        </is>
      </c>
      <c r="C12" t="inlineStr">
        <is>
          <t>Σ abstract = 432.62; abstract total = 432.62; BOM gross = 432.62.</t>
        </is>
      </c>
      <c r="D12" t="inlineStr">
        <is>
          <t>abstract</t>
        </is>
      </c>
    </row>
    <row r="13">
      <c r="A13" t="inlineStr">
        <is>
          <t>abstract.by_section</t>
        </is>
      </c>
      <c r="B13" t="inlineStr">
        <is>
          <t>pass</t>
        </is>
      </c>
      <c r="C13" t="inlineStr">
        <is>
          <t>Every abstract row equals the BOM gross for that section/plate thickness.</t>
        </is>
      </c>
      <c r="D13" t="inlineStr">
        <is>
          <t>bom</t>
        </is>
      </c>
    </row>
    <row r="14">
      <c r="A14" t="inlineStr">
        <is>
          <t>title.drawing_no</t>
        </is>
      </c>
      <c r="B14" t="inlineStr">
        <is>
          <t>pass</t>
        </is>
      </c>
      <c r="C14" t="inlineStr">
        <is>
          <t>Drawing no. TST-SFD-46-01-01-07-000-09970 matches file name.</t>
        </is>
      </c>
      <c r="D14" t="inlineStr">
        <is>
          <t>title_block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4DC3 x 1</t>
        </is>
      </c>
    </row>
    <row r="3">
      <c r="A3" t="inlineStr">
        <is>
          <t>Total steel (kg, BOM gross x qty)</t>
        </is>
      </c>
      <c r="B3" t="n">
        <v>432.62</v>
      </c>
    </row>
    <row r="4">
      <c r="A4" t="inlineStr">
        <is>
          <t>Plates (kg)</t>
        </is>
      </c>
      <c r="B4" t="n">
        <v>56.96</v>
      </c>
    </row>
    <row r="5">
      <c r="A5" t="inlineStr">
        <is>
          <t>Sections (kg)</t>
        </is>
      </c>
      <c r="B5" t="n">
        <v>375.66</v>
      </c>
    </row>
    <row r="6">
      <c r="A6" t="inlineStr">
        <is>
          <t>Paint area (m2)</t>
        </is>
      </c>
      <c r="B6" t="n">
        <v>9.710000000000001</v>
      </c>
    </row>
    <row r="7">
      <c r="A7" t="inlineStr">
        <is>
          <t>Weld metal (kg, model-read estimate, unverified)</t>
        </is>
      </c>
      <c r="B7" t="n">
        <v>1.64</v>
      </c>
    </row>
    <row r="8">
      <c r="A8" t="inlineStr">
        <is>
          <t>Electrode (kg, model-read estimate, unverified)</t>
        </is>
      </c>
      <c r="B8" t="n">
        <v>2.73</v>
      </c>
    </row>
    <row r="9">
      <c r="A9" t="inlineStr">
        <is>
          <t>OpenAI model</t>
        </is>
      </c>
      <c r="B9" t="inlineStr">
        <is>
          <t>gpt-5.4-mini (sections) + gpt-5.5 (welds)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thickness_mm</t>
        </is>
      </c>
      <c r="B1" t="inlineStr">
        <is>
          <t>grade</t>
        </is>
      </c>
      <c r="C1" t="inlineStr">
        <is>
          <t>pieces</t>
        </is>
      </c>
      <c r="D1" t="inlineStr">
        <is>
          <t>area_m2</t>
        </is>
      </c>
      <c r="E1" t="inlineStr">
        <is>
          <t>weight_kg</t>
        </is>
      </c>
      <c r="F1" t="inlineStr">
        <is>
          <t>sources</t>
        </is>
      </c>
    </row>
    <row r="2">
      <c r="A2" t="n">
        <v>6</v>
      </c>
      <c r="B2" t="inlineStr">
        <is>
          <t>E350A</t>
        </is>
      </c>
      <c r="C2" t="n">
        <v>2</v>
      </c>
      <c r="D2" t="n">
        <v>0.081</v>
      </c>
      <c r="E2" t="n">
        <v>3.8</v>
      </c>
      <c r="F2" t="inlineStr">
        <is>
          <t>4p638</t>
        </is>
      </c>
    </row>
    <row r="3">
      <c r="A3" t="n">
        <v>8</v>
      </c>
      <c r="B3" t="inlineStr">
        <is>
          <t>E350A</t>
        </is>
      </c>
      <c r="C3" t="n">
        <v>12</v>
      </c>
      <c r="D3" t="n">
        <v>0.213</v>
      </c>
      <c r="E3" t="n">
        <v>13.4</v>
      </c>
      <c r="F3" t="inlineStr">
        <is>
          <t>4p639, 4p640, 4p641</t>
        </is>
      </c>
    </row>
    <row r="4">
      <c r="A4" t="n">
        <v>10</v>
      </c>
      <c r="B4" t="inlineStr">
        <is>
          <t>E350A</t>
        </is>
      </c>
      <c r="C4" t="n">
        <v>4</v>
      </c>
      <c r="D4" t="n">
        <v>0.506</v>
      </c>
      <c r="E4" t="n">
        <v>39.76</v>
      </c>
      <c r="F4" t="inlineStr">
        <is>
          <t>4p637, 4p660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family</t>
        </is>
      </c>
      <c r="C1" t="inlineStr">
        <is>
          <t>grade</t>
        </is>
      </c>
      <c r="D1" t="inlineStr">
        <is>
          <t>pieces</t>
        </is>
      </c>
      <c r="E1" t="inlineStr">
        <is>
          <t>total_length_m</t>
        </is>
      </c>
      <c r="F1" t="inlineStr">
        <is>
          <t>weight_kg</t>
        </is>
      </c>
      <c r="G1" t="inlineStr">
        <is>
          <t>sources</t>
        </is>
      </c>
    </row>
    <row r="2">
      <c r="A2" t="inlineStr">
        <is>
          <t>PIPE219.1*5.4</t>
        </is>
      </c>
      <c r="B2" t="inlineStr">
        <is>
          <t>pipe</t>
        </is>
      </c>
      <c r="C2" t="inlineStr">
        <is>
          <t>YST 240</t>
        </is>
      </c>
      <c r="D2" t="n">
        <v>1</v>
      </c>
      <c r="E2" t="n">
        <v>0.325</v>
      </c>
      <c r="F2" t="n">
        <v>9.18</v>
      </c>
      <c r="G2" t="inlineStr">
        <is>
          <t>4m706</t>
        </is>
      </c>
    </row>
    <row r="3">
      <c r="A3" t="inlineStr">
        <is>
          <t>PIPE508*6</t>
        </is>
      </c>
      <c r="B3" t="inlineStr">
        <is>
          <t>pipe</t>
        </is>
      </c>
      <c r="C3" t="inlineStr">
        <is>
          <t>YST 240</t>
        </is>
      </c>
      <c r="D3" t="n">
        <v>3</v>
      </c>
      <c r="E3" t="n">
        <v>5.473</v>
      </c>
      <c r="F3" t="n">
        <v>365.74</v>
      </c>
      <c r="G3" t="inlineStr">
        <is>
          <t>4DC3, 4m665, 4m666</t>
        </is>
      </c>
    </row>
    <row r="4">
      <c r="A4" t="inlineStr">
        <is>
          <t>ROD20</t>
        </is>
      </c>
      <c r="B4" t="inlineStr">
        <is>
          <t>round</t>
        </is>
      </c>
      <c r="C4" t="inlineStr">
        <is>
          <t>E250A</t>
        </is>
      </c>
      <c r="D4" t="n">
        <v>1</v>
      </c>
      <c r="E4" t="n">
        <v>0.301</v>
      </c>
      <c r="F4" t="n">
        <v>0.74</v>
      </c>
      <c r="G4" t="inlineStr">
        <is>
          <t>4m707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dia_mm</t>
        </is>
      </c>
      <c r="C1" t="inlineStr">
        <is>
          <t>length_mm</t>
        </is>
      </c>
      <c r="D1" t="inlineStr">
        <is>
          <t>type</t>
        </is>
      </c>
      <c r="E1" t="inlineStr">
        <is>
          <t>grade</t>
        </is>
      </c>
      <c r="F1" t="inlineStr">
        <is>
          <t>spec</t>
        </is>
      </c>
      <c r="G1" t="inlineStr">
        <is>
          <t>material</t>
        </is>
      </c>
      <c r="H1" t="inlineStr">
        <is>
          <t>qty</t>
        </is>
      </c>
      <c r="I1" t="inlineStr">
        <is>
          <t>connected_assemblies</t>
        </is>
      </c>
    </row>
    <row r="2">
      <c r="A2" t="inlineStr">
        <is>
          <t>bolt</t>
        </is>
      </c>
      <c r="B2" t="inlineStr">
        <is>
          <t>16</t>
        </is>
      </c>
      <c r="C2" t="inlineStr">
        <is>
          <t>60</t>
        </is>
      </c>
      <c r="D2" t="inlineStr">
        <is>
          <t>HEX</t>
        </is>
      </c>
      <c r="E2" t="inlineStr">
        <is>
          <t>8.8XOX</t>
        </is>
      </c>
      <c r="F2" t="inlineStr">
        <is>
          <t>IS:1364(II)-2023</t>
        </is>
      </c>
      <c r="G2" t="inlineStr">
        <is>
          <t>IS:1367 (I) 2014</t>
        </is>
      </c>
      <c r="H2" t="n">
        <v>18</v>
      </c>
      <c r="I2" t="inlineStr">
        <is>
          <t>4PSB2, 4PSB5, 4PSB6</t>
        </is>
      </c>
    </row>
    <row r="3">
      <c r="A3" t="inlineStr">
        <is>
          <t>nut</t>
        </is>
      </c>
      <c r="B3" t="inlineStr">
        <is>
          <t>16</t>
        </is>
      </c>
      <c r="C3" t="inlineStr"/>
      <c r="D3" t="inlineStr"/>
      <c r="E3" t="inlineStr">
        <is>
          <t>8.8XOX</t>
        </is>
      </c>
      <c r="F3" t="inlineStr">
        <is>
          <t>IS:1364(III)-2018</t>
        </is>
      </c>
      <c r="G3" t="inlineStr">
        <is>
          <t>IS:1367 (VI) 2025</t>
        </is>
      </c>
      <c r="H3" t="n">
        <v>26</v>
      </c>
      <c r="I3" t="inlineStr">
        <is>
          <t>4PSB2, 4PSB5, 4PSB6</t>
        </is>
      </c>
    </row>
    <row r="4">
      <c r="A4" t="inlineStr">
        <is>
          <t>plain washer</t>
        </is>
      </c>
      <c r="B4" t="inlineStr">
        <is>
          <t>18</t>
        </is>
      </c>
      <c r="C4" t="inlineStr"/>
      <c r="D4" t="inlineStr">
        <is>
          <t>FLAT-E</t>
        </is>
      </c>
      <c r="E4" t="inlineStr"/>
      <c r="F4" t="inlineStr">
        <is>
          <t>IS:2016 - 1967</t>
        </is>
      </c>
      <c r="G4" t="inlineStr">
        <is>
          <t>IS:1570 (II) 1979</t>
        </is>
      </c>
      <c r="H4" t="n">
        <v>18</v>
      </c>
      <c r="I4" t="inlineStr">
        <is>
          <t>4PSB2, 4PSB5, 4PSB6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size_mm</t>
        </is>
      </c>
      <c r="C1" t="inlineStr">
        <is>
          <t>length_mm</t>
        </is>
      </c>
      <c r="D1" t="inlineStr">
        <is>
          <t>count</t>
        </is>
      </c>
      <c r="E1" t="inlineStr">
        <is>
          <t>edge</t>
        </is>
      </c>
      <c r="F1" t="inlineStr">
        <is>
          <t>sides</t>
        </is>
      </c>
      <c r="G1" t="inlineStr">
        <is>
          <t>tack</t>
        </is>
      </c>
      <c r="H1" t="inlineStr">
        <is>
          <t>evidence</t>
        </is>
      </c>
      <c r="I1" t="inlineStr">
        <is>
          <t>total_length_m</t>
        </is>
      </c>
      <c r="J1" t="inlineStr">
        <is>
          <t>weld_metal_kg</t>
        </is>
      </c>
    </row>
    <row r="2">
      <c r="A2" t="inlineStr">
        <is>
          <t>4p638, 4p637</t>
        </is>
      </c>
      <c r="B2" t="n">
        <v>6</v>
      </c>
      <c r="C2" t="n">
        <v>807.4</v>
      </c>
      <c r="D2" t="n">
        <v>2</v>
      </c>
      <c r="E2" t="inlineStr">
        <is>
          <t>length</t>
        </is>
      </c>
      <c r="F2" t="n">
        <v>1</v>
      </c>
      <c r="G2" t="b">
        <v>0</v>
      </c>
      <c r="H2" t="inlineStr">
        <is>
          <t>Top collar detail / section A-A, grid B4-C8: 6 TYP weld symbol at 4p638/4p637 collar plates.</t>
        </is>
      </c>
      <c r="I2" t="n">
        <v>1.615</v>
      </c>
      <c r="J2" t="n">
        <v>0.228</v>
      </c>
    </row>
    <row r="3">
      <c r="A3" t="inlineStr">
        <is>
          <t>4p640, 4DC3</t>
        </is>
      </c>
      <c r="B3" t="n">
        <v>6</v>
      </c>
      <c r="C3" t="n">
        <v>656</v>
      </c>
      <c r="D3" t="n">
        <v>4</v>
      </c>
      <c r="E3" t="inlineStr">
        <is>
          <t>perimeter</t>
        </is>
      </c>
      <c r="F3" t="n">
        <v>1</v>
      </c>
      <c r="G3" t="b">
        <v>0</v>
      </c>
      <c r="H3" t="inlineStr">
        <is>
          <t>Bracket arrangement and section B-B, grid E4-F9: 6 TYP weld symbols at 4p640 pads on 4DC3.</t>
        </is>
      </c>
      <c r="I3" t="n">
        <v>2.624</v>
      </c>
      <c r="J3" t="n">
        <v>0.371</v>
      </c>
    </row>
    <row r="4">
      <c r="A4" t="inlineStr">
        <is>
          <t>4p639, 4p640</t>
        </is>
      </c>
      <c r="B4" t="n">
        <v>6</v>
      </c>
      <c r="C4" t="n">
        <v>188</v>
      </c>
      <c r="D4" t="n">
        <v>4</v>
      </c>
      <c r="E4" t="inlineStr">
        <is>
          <t>width</t>
        </is>
      </c>
      <c r="F4" t="n">
        <v>2</v>
      </c>
      <c r="G4" t="b">
        <v>0</v>
      </c>
      <c r="H4" t="inlineStr">
        <is>
          <t>Bracket detail, grid E4-E9 and section B-B: weld symbol shows 6 both sides / TYP at 4p639 lug to bracket pad.</t>
        </is>
      </c>
      <c r="I4" t="n">
        <v>0.752</v>
      </c>
      <c r="J4" t="n">
        <v>0.106</v>
      </c>
    </row>
    <row r="5">
      <c r="A5" t="inlineStr">
        <is>
          <t>4p641, 4p640</t>
        </is>
      </c>
      <c r="B5" t="n">
        <v>6</v>
      </c>
      <c r="C5" t="n">
        <v>300</v>
      </c>
      <c r="D5" t="n">
        <v>4</v>
      </c>
      <c r="E5" t="inlineStr">
        <is>
          <t>length</t>
        </is>
      </c>
      <c r="F5" t="n">
        <v>2</v>
      </c>
      <c r="G5" t="b">
        <v>0</v>
      </c>
      <c r="H5" t="inlineStr">
        <is>
          <t>Bracket detail and section B-B, grid E4-F9: 6 TYP / both-side weld indication at 4p641 with 4p640.</t>
        </is>
      </c>
      <c r="I5" t="n">
        <v>1.2</v>
      </c>
      <c r="J5" t="n">
        <v>0.17</v>
      </c>
    </row>
    <row r="6">
      <c r="A6" t="inlineStr">
        <is>
          <t>4m706, 4m665</t>
        </is>
      </c>
      <c r="B6" t="n">
        <v>6</v>
      </c>
      <c r="C6" t="n">
        <v>688.3</v>
      </c>
      <c r="D6" t="n">
        <v>1</v>
      </c>
      <c r="E6" t="inlineStr">
        <is>
          <t>circumference</t>
        </is>
      </c>
      <c r="F6" t="n">
        <v>1</v>
      </c>
      <c r="G6" t="b">
        <v>0</v>
      </c>
      <c r="H6" t="inlineStr">
        <is>
          <t>Section C-C, grid H8: 6 TYP weld symbol around 4m706 pipe connection to 4m665.</t>
        </is>
      </c>
      <c r="I6" t="n">
        <v>0.6879999999999999</v>
      </c>
      <c r="J6" t="n">
        <v>0.097</v>
      </c>
    </row>
    <row r="7">
      <c r="A7" t="inlineStr">
        <is>
          <t>4p660, 4m706</t>
        </is>
      </c>
      <c r="B7" t="n">
        <v>6</v>
      </c>
      <c r="C7" t="n">
        <v>688.3</v>
      </c>
      <c r="D7" t="n">
        <v>2</v>
      </c>
      <c r="E7" t="inlineStr">
        <is>
          <t>circumference</t>
        </is>
      </c>
      <c r="F7" t="n">
        <v>1</v>
      </c>
      <c r="G7" t="b">
        <v>0</v>
      </c>
      <c r="H7" t="inlineStr">
        <is>
          <t>Section D-D, grid J8-K8: 6 TYP weld symbol at 4p660 circular plates on 4m706.</t>
        </is>
      </c>
      <c r="I7" t="n">
        <v>1.377</v>
      </c>
      <c r="J7" t="n">
        <v>0.195</v>
      </c>
    </row>
    <row r="8">
      <c r="A8" t="inlineStr">
        <is>
          <t>4m707, 4m706</t>
        </is>
      </c>
      <c r="B8" t="n">
        <v>6</v>
      </c>
      <c r="C8" t="n">
        <v>62.8</v>
      </c>
      <c r="D8" t="n">
        <v>2</v>
      </c>
      <c r="E8" t="inlineStr">
        <is>
          <t>circumference</t>
        </is>
      </c>
      <c r="F8" t="n">
        <v>1</v>
      </c>
      <c r="G8" t="b">
        <v>0</v>
      </c>
      <c r="H8" t="inlineStr">
        <is>
          <t>Nozzle/rod detail, grid F2-G3: 4m707 CTR'D with 6 TYP weld symbol at rod attachment.</t>
        </is>
      </c>
      <c r="I8" t="n">
        <v>0.126</v>
      </c>
      <c r="J8" t="n">
        <v>0.018</v>
      </c>
    </row>
    <row r="9">
      <c r="A9" t="inlineStr">
        <is>
          <t>4m665, 4DC3</t>
        </is>
      </c>
      <c r="B9" t="n">
        <v>6</v>
      </c>
      <c r="C9" t="n">
        <v>1595.9</v>
      </c>
      <c r="D9" t="n">
        <v>1</v>
      </c>
      <c r="E9" t="inlineStr">
        <is>
          <t>circumference</t>
        </is>
      </c>
      <c r="F9" t="n">
        <v>1</v>
      </c>
      <c r="G9" t="b">
        <v>0</v>
      </c>
      <c r="H9" t="inlineStr">
        <is>
          <t>Main assembly view, grid G6-H8: TYP weld symbol at pipe-to-pipe joint; general note gives 6 mm U.N.O.</t>
        </is>
      </c>
      <c r="I9" t="n">
        <v>1.596</v>
      </c>
      <c r="J9" t="n">
        <v>0.226</v>
      </c>
    </row>
    <row r="10">
      <c r="A10" t="inlineStr">
        <is>
          <t>4m666, 4m665</t>
        </is>
      </c>
      <c r="B10" t="n">
        <v>6</v>
      </c>
      <c r="C10" t="n">
        <v>1595.9</v>
      </c>
      <c r="D10" t="n">
        <v>1</v>
      </c>
      <c r="E10" t="inlineStr">
        <is>
          <t>circumference</t>
        </is>
      </c>
      <c r="F10" t="n">
        <v>1</v>
      </c>
      <c r="G10" t="b">
        <v>0</v>
      </c>
      <c r="H10" t="inlineStr">
        <is>
          <t>Main assembly view, grid J6-J8: TYP weld symbol at mitred pipe joint; general note gives 6 mm U.N.O.</t>
        </is>
      </c>
      <c r="I10" t="n">
        <v>1.596</v>
      </c>
      <c r="J10" t="n">
        <v>0.226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boq.drawing_weight</t>
        </is>
      </c>
      <c r="B2" t="inlineStr">
        <is>
          <t>pass</t>
        </is>
      </c>
      <c r="C2" t="inlineStr">
        <is>
          <t>BOQ total drawing weight 432.62 kg; BOM gross total 432.62 kg.</t>
        </is>
      </c>
      <c r="D2" t="inlineStr">
        <is>
          <t>inventory</t>
        </is>
      </c>
    </row>
    <row r="3">
      <c r="A3" t="inlineStr">
        <is>
          <t>boq.calculated</t>
        </is>
      </c>
      <c r="B3" t="inlineStr">
        <is>
          <t>warn</t>
        </is>
      </c>
      <c r="C3" t="inlineStr">
        <is>
          <t>BOQ calculated 473.49 kg vs drawing 432.62 kg (+40.87 kg). Rows off by &gt;5%: ['4DC3 PIPE508*6: +10.46 kg', '4m665 PIPE508*6: +20.19 kg', '4m666 PIPE508*6: +10.14 kg'].</t>
        </is>
      </c>
      <c r="D3" t="inlineStr">
        <is>
          <t>inventory</t>
        </is>
      </c>
    </row>
    <row r="4">
      <c r="A4" t="inlineStr">
        <is>
          <t>inventory.unclassified</t>
        </is>
      </c>
      <c r="B4" t="inlineStr">
        <is>
          <t>pass</t>
        </is>
      </c>
      <c r="C4" t="inlineStr">
        <is>
          <t>Every BOM member is classified.</t>
        </is>
      </c>
      <c r="D4" t="inlineStr">
        <is>
          <t>inventory</t>
        </is>
      </c>
    </row>
    <row r="5">
      <c r="A5" t="inlineStr">
        <is>
          <t>inventory.welds</t>
        </is>
      </c>
      <c r="B5" t="inlineStr">
        <is>
          <t>pass</t>
        </is>
      </c>
      <c r="C5" t="inlineStr">
        <is>
          <t>9 weld runs accepted</t>
        </is>
      </c>
      <c r="D5" t="inlineStr">
        <is>
          <t>inventory</t>
        </is>
      </c>
    </row>
    <row r="6">
      <c r="A6" t="inlineStr">
        <is>
          <t>inventory.weld_estimate</t>
        </is>
      </c>
      <c r="B6" t="inlineStr">
        <is>
          <t>warn</t>
        </is>
      </c>
      <c r="C6" t="inlineStr">
        <is>
          <t>Weld metal 1.64 kg (0.38% of steel; fabricated steel is typically 1-2%) is a model-read estimate, unverified: topology read by OpenAI, lengths computed from the BOM, tack welds excluded.</t>
        </is>
      </c>
      <c r="D6" t="inlineStr">
        <is>
          <t>inventory</t>
        </is>
      </c>
    </row>
    <row r="7">
      <c r="A7" t="inlineStr">
        <is>
          <t>inventory.weight</t>
        </is>
      </c>
      <c r="B7" t="inlineStr">
        <is>
          <t>pass</t>
        </is>
      </c>
      <c r="C7" t="inlineStr">
        <is>
          <t>Plates + sections = 432.62 kg; BOM gross total = 432.62 kg.</t>
        </is>
      </c>
      <c r="D7" t="inlineStr">
        <is>
          <t>inventory</t>
        </is>
      </c>
    </row>
    <row r="8">
      <c r="A8" t="inlineStr">
        <is>
          <t>inventory.paint</t>
        </is>
      </c>
      <c r="B8" t="inlineStr">
        <is>
          <t>pass</t>
        </is>
      </c>
      <c r="C8" t="inlineStr">
        <is>
          <t>Paint area 9.71 m² (BOM total); Σ row area × qty = 9.70 m².</t>
        </is>
      </c>
      <c r="D8" t="inlineStr">
        <is>
          <t>inventory</t>
        </is>
      </c>
    </row>
    <row r="9">
      <c r="A9" t="inlineStr">
        <is>
          <t>inventory.taper_qty</t>
        </is>
      </c>
      <c r="B9" t="inlineStr">
        <is>
          <t>warn</t>
        </is>
      </c>
      <c r="C9" t="inlineStr">
        <is>
          <t>Taper washers listed without a quantity for ['4PSB2', '4PSB5', '4PSB6']; not counted.</t>
        </is>
      </c>
      <c r="D9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2026-09-19T15:03:01Z</dcterms:created>
  <dcterms:modified xsi:type="dcterms:W3CDTF">2026-09-19T15:03:01Z</dcterms:modified>
</cp:coreProperties>
</file>