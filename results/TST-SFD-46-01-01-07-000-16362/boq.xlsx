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TST-SFD-46-01-01-07-000-16362</t>
        </is>
      </c>
      <c r="B3" t="inlineStr">
        <is>
          <t>DOWN COMER</t>
        </is>
      </c>
      <c r="C3" t="inlineStr">
        <is>
          <t>1DC1</t>
        </is>
      </c>
      <c r="D3" t="inlineStr">
        <is>
          <t>1DC1</t>
        </is>
      </c>
      <c r="E3" t="inlineStr">
        <is>
          <t>PIPE508*6</t>
        </is>
      </c>
      <c r="G3" t="n">
        <v>400</v>
      </c>
      <c r="H3" t="n">
        <v>1</v>
      </c>
      <c r="I3" t="n">
        <v>2</v>
      </c>
      <c r="J3">
        <f>H3*I3</f>
        <v/>
      </c>
      <c r="K3" t="n">
        <v>74.28</v>
      </c>
      <c r="L3">
        <f>(G3/1000)*H3*K3</f>
        <v/>
      </c>
      <c r="M3">
        <f>L3*I3</f>
        <v/>
      </c>
      <c r="N3" t="n">
        <v>29.59</v>
      </c>
      <c r="O3">
        <f>N3*I3</f>
        <v/>
      </c>
      <c r="P3">
        <f>M3-O3</f>
        <v/>
      </c>
      <c r="Q3" t="inlineStr">
        <is>
          <t>YST 240</t>
        </is>
      </c>
      <c r="R3" t="inlineStr">
        <is>
          <t>computed (pi (OD-t) t x 7850)</t>
        </is>
      </c>
      <c r="S3" t="inlineStr">
        <is>
          <t>BOM length is the longest length; DIFFERENCE includes mitre / hole cut-off</t>
        </is>
      </c>
    </row>
    <row r="4">
      <c r="A4" t="inlineStr">
        <is>
          <t>TST-SFD-46-01-01-07-000-16362</t>
        </is>
      </c>
      <c r="B4" t="inlineStr">
        <is>
          <t>DOWN COMER</t>
        </is>
      </c>
      <c r="C4" t="inlineStr">
        <is>
          <t>1DC1</t>
        </is>
      </c>
      <c r="D4" t="inlineStr">
        <is>
          <t>1m470 cone plate</t>
        </is>
      </c>
      <c r="E4" t="inlineStr">
        <is>
          <t>PL8</t>
        </is>
      </c>
      <c r="F4" t="n">
        <v>1727.9</v>
      </c>
      <c r="G4" t="n">
        <v>508.5</v>
      </c>
      <c r="H4" t="n">
        <v>1</v>
      </c>
      <c r="I4" t="n">
        <v>2</v>
      </c>
      <c r="J4">
        <f>H4*I4</f>
        <v/>
      </c>
      <c r="K4">
        <f>7.85*8</f>
        <v/>
      </c>
      <c r="L4">
        <f>(F4/1000)*(G4/1000)*H4*K4</f>
        <v/>
      </c>
      <c r="M4">
        <f>L4*I4</f>
        <v/>
      </c>
      <c r="N4" t="n">
        <v>54.93</v>
      </c>
      <c r="O4">
        <f>N4*I4</f>
        <v/>
      </c>
      <c r="P4">
        <f>M4-O4</f>
        <v/>
      </c>
      <c r="Q4" t="inlineStr">
        <is>
          <t>YST 240</t>
        </is>
      </c>
      <c r="R4" t="inlineStr">
        <is>
          <t>7.85 x t</t>
        </is>
      </c>
      <c r="S4" t="inlineStr">
        <is>
          <t>SPD508*508*608*608*8: rolled cone, developed plate (mean circumference x slant height); WT shared by plate weight</t>
        </is>
      </c>
    </row>
    <row r="5">
      <c r="A5" t="inlineStr">
        <is>
          <t>TST-SFD-46-01-01-07-000-16362</t>
        </is>
      </c>
      <c r="B5" t="inlineStr">
        <is>
          <t>DOWN COMER</t>
        </is>
      </c>
      <c r="C5" t="inlineStr">
        <is>
          <t>1DC1</t>
        </is>
      </c>
      <c r="D5" t="inlineStr">
        <is>
          <t>1m471</t>
        </is>
      </c>
      <c r="E5" t="inlineStr">
        <is>
          <t>ISMC150</t>
        </is>
      </c>
      <c r="G5" t="n">
        <v>800</v>
      </c>
      <c r="H5" t="n">
        <v>1</v>
      </c>
      <c r="I5" t="n">
        <v>2</v>
      </c>
      <c r="J5">
        <f>H5*I5</f>
        <v/>
      </c>
      <c r="K5" t="n">
        <v>16.8</v>
      </c>
      <c r="L5">
        <f>(G5/1000)*H5*K5</f>
        <v/>
      </c>
      <c r="M5">
        <f>L5*I5</f>
        <v/>
      </c>
      <c r="N5" t="n">
        <v>13.16</v>
      </c>
      <c r="O5">
        <f>N5*I5</f>
        <v/>
      </c>
      <c r="P5">
        <f>M5-O5</f>
        <v/>
      </c>
      <c r="Q5" t="inlineStr">
        <is>
          <t>E250A</t>
        </is>
      </c>
      <c r="R5" t="inlineStr">
        <is>
          <t>IS 808 table</t>
        </is>
      </c>
      <c r="S5" t="inlineStr"/>
    </row>
    <row r="6">
      <c r="A6" t="inlineStr">
        <is>
          <t>TST-SFD-46-01-01-07-000-16362</t>
        </is>
      </c>
      <c r="B6" t="inlineStr">
        <is>
          <t>DOWN COMER</t>
        </is>
      </c>
      <c r="C6" t="inlineStr">
        <is>
          <t>1DC1</t>
        </is>
      </c>
      <c r="D6" t="inlineStr">
        <is>
          <t>1m472</t>
        </is>
      </c>
      <c r="E6" t="inlineStr">
        <is>
          <t>ISA75X75X8</t>
        </is>
      </c>
      <c r="G6" t="n">
        <v>800</v>
      </c>
      <c r="H6" t="n">
        <v>1</v>
      </c>
      <c r="I6" t="n">
        <v>2</v>
      </c>
      <c r="J6">
        <f>H6*I6</f>
        <v/>
      </c>
      <c r="K6" t="n">
        <v>8.9</v>
      </c>
      <c r="L6">
        <f>(G6/1000)*H6*K6</f>
        <v/>
      </c>
      <c r="M6">
        <f>L6*I6</f>
        <v/>
      </c>
      <c r="N6" t="n">
        <v>7.15</v>
      </c>
      <c r="O6">
        <f>N6*I6</f>
        <v/>
      </c>
      <c r="P6">
        <f>M6-O6</f>
        <v/>
      </c>
      <c r="Q6" t="inlineStr">
        <is>
          <t>E250A</t>
        </is>
      </c>
      <c r="R6" t="inlineStr">
        <is>
          <t>IS 808 table</t>
        </is>
      </c>
      <c r="S6" t="inlineStr"/>
    </row>
    <row r="7">
      <c r="A7" t="inlineStr">
        <is>
          <t>TST-SFD-46-01-01-07-000-16362</t>
        </is>
      </c>
      <c r="B7" t="inlineStr">
        <is>
          <t>DOWN COMER</t>
        </is>
      </c>
      <c r="C7" t="inlineStr">
        <is>
          <t>1DC1</t>
        </is>
      </c>
      <c r="D7" t="inlineStr">
        <is>
          <t>1m473</t>
        </is>
      </c>
      <c r="E7" t="inlineStr">
        <is>
          <t>ROD8</t>
        </is>
      </c>
      <c r="G7" t="n">
        <v>608</v>
      </c>
      <c r="H7" t="n">
        <v>22</v>
      </c>
      <c r="I7" t="n">
        <v>2</v>
      </c>
      <c r="J7">
        <f>H7*I7</f>
        <v/>
      </c>
      <c r="K7" t="n">
        <v>0.395</v>
      </c>
      <c r="L7">
        <f>(G7/1000)*H7*K7</f>
        <v/>
      </c>
      <c r="M7">
        <f>L7*I7</f>
        <v/>
      </c>
      <c r="N7" t="n">
        <v>4.75</v>
      </c>
      <c r="O7">
        <f>N7*I7</f>
        <v/>
      </c>
      <c r="P7">
        <f>M7-O7</f>
        <v/>
      </c>
      <c r="Q7" t="inlineStr">
        <is>
          <t>E250A</t>
        </is>
      </c>
      <c r="R7" t="inlineStr">
        <is>
          <t>computed (pi d²/4 x 7850)</t>
        </is>
      </c>
      <c r="S7" t="inlineStr"/>
    </row>
    <row r="8">
      <c r="A8" t="inlineStr">
        <is>
          <t>TST-SFD-46-01-01-07-000-16362</t>
        </is>
      </c>
      <c r="B8" t="inlineStr">
        <is>
          <t>DOWN COMER</t>
        </is>
      </c>
      <c r="C8" t="inlineStr">
        <is>
          <t>1DC1</t>
        </is>
      </c>
      <c r="D8" t="inlineStr">
        <is>
          <t>1p374</t>
        </is>
      </c>
      <c r="E8" t="inlineStr">
        <is>
          <t>PL6</t>
        </is>
      </c>
      <c r="F8" t="n">
        <v>800</v>
      </c>
      <c r="G8" t="n">
        <v>1478.4</v>
      </c>
      <c r="H8" t="n">
        <v>1</v>
      </c>
      <c r="I8" t="n">
        <v>2</v>
      </c>
      <c r="J8">
        <f>H8*I8</f>
        <v/>
      </c>
      <c r="K8">
        <f>7.85*6</f>
        <v/>
      </c>
      <c r="L8">
        <f>(F8/1000)*(G8/1000)*H8*K8</f>
        <v/>
      </c>
      <c r="M8">
        <f>L8*I8</f>
        <v/>
      </c>
      <c r="N8" t="n">
        <v>55.71</v>
      </c>
      <c r="O8">
        <f>N8*I8</f>
        <v/>
      </c>
      <c r="P8">
        <f>M8-O8</f>
        <v/>
      </c>
      <c r="Q8" t="inlineStr">
        <is>
          <t>E350A</t>
        </is>
      </c>
      <c r="R8" t="inlineStr">
        <is>
          <t>7.85 x t</t>
        </is>
      </c>
      <c r="S8" t="inlineStr"/>
    </row>
    <row r="9">
      <c r="A9" t="inlineStr">
        <is>
          <t>TST-SFD-46-01-01-07-000-16362</t>
        </is>
      </c>
      <c r="B9" t="inlineStr">
        <is>
          <t>DOWN COMER</t>
        </is>
      </c>
      <c r="C9" t="inlineStr">
        <is>
          <t>1DC1</t>
        </is>
      </c>
      <c r="D9" t="inlineStr">
        <is>
          <t>1p375</t>
        </is>
      </c>
      <c r="E9" t="inlineStr">
        <is>
          <t>PL6</t>
        </is>
      </c>
      <c r="F9" t="n">
        <v>75</v>
      </c>
      <c r="G9" t="n">
        <v>1412.4</v>
      </c>
      <c r="H9" t="n">
        <v>2</v>
      </c>
      <c r="I9" t="n">
        <v>2</v>
      </c>
      <c r="J9">
        <f>H9*I9</f>
        <v/>
      </c>
      <c r="K9">
        <f>7.85*6</f>
        <v/>
      </c>
      <c r="L9">
        <f>(F9/1000)*(G9/1000)*H9*K9</f>
        <v/>
      </c>
      <c r="M9">
        <f>L9*I9</f>
        <v/>
      </c>
      <c r="N9" t="n">
        <v>9.98</v>
      </c>
      <c r="O9">
        <f>N9*I9</f>
        <v/>
      </c>
      <c r="P9">
        <f>M9-O9</f>
        <v/>
      </c>
      <c r="Q9" t="inlineStr">
        <is>
          <t>E350A</t>
        </is>
      </c>
      <c r="R9" t="inlineStr">
        <is>
          <t>7.85 x t</t>
        </is>
      </c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2026-09-19T15:06:09Z</dcterms:created>
  <dcterms:modified xsi:type="dcterms:W3CDTF">2026-09-19T15:06:09Z</dcterms:modified>
</cp:coreProperties>
</file>