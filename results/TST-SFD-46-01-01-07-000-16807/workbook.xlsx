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Title" sheetId="2" state="visible" r:id="rId2"/>
    <sheet name="BOM" sheetId="3" state="visible" r:id="rId3"/>
    <sheet name="Locations" sheetId="4" state="visible" r:id="rId4"/>
    <sheet name="Abstract" sheetId="5" state="visible" r:id="rId5"/>
    <sheet name="Bolts" sheetId="6" state="visible" r:id="rId6"/>
    <sheet name="Revisions" sheetId="7" state="visible" r:id="rId7"/>
    <sheet name="Notes" sheetId="8" state="visible" r:id="rId8"/>
    <sheet name="Views" sheetId="9" state="visible" r:id="rId9"/>
    <sheet name="Checks" sheetId="10" state="visible" r:id="rId10"/>
    <sheet name="Inv Summary" sheetId="11" state="visible" r:id="rId11"/>
    <sheet name="Inv Plates" sheetId="12" state="visible" r:id="rId12"/>
    <sheet name="Inv Sections" sheetId="13" state="visible" r:id="rId13"/>
    <sheet name="Inv Fasteners" sheetId="14" state="visible" r:id="rId14"/>
    <sheet name="Inv Welds" sheetId="15" state="visible" r:id="rId15"/>
    <sheet name="Inv Review" sheetId="16" state="visible" r:id="rId16"/>
    <sheet name="Inv Check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J1">
        <f>SUBTOTAL(9,J3:J105848)</f>
        <v/>
      </c>
      <c r="L1">
        <f>SUBTOTAL(9,L3:L105848)</f>
        <v/>
      </c>
      <c r="M1">
        <f>SUBTOTAL(9,M3:M105848)</f>
        <v/>
      </c>
      <c r="N1">
        <f>SUBTOTAL(9,N3:N105848)</f>
        <v/>
      </c>
      <c r="O1">
        <f>SUBTOTAL(9,O3:O105848)</f>
        <v/>
      </c>
      <c r="P1">
        <f>SUBTOTAL(9,P3:P105848)</f>
        <v/>
      </c>
    </row>
    <row r="2">
      <c r="A2" t="inlineStr">
        <is>
          <t>DRAWING NO</t>
        </is>
      </c>
      <c r="B2" t="inlineStr">
        <is>
          <t>ITEM TYPE</t>
        </is>
      </c>
      <c r="C2" t="inlineStr">
        <is>
          <t>MARK NO</t>
        </is>
      </c>
      <c r="D2" t="inlineStr">
        <is>
          <t>ITEMNO</t>
        </is>
      </c>
      <c r="E2" t="inlineStr">
        <is>
          <t>SECTION</t>
        </is>
      </c>
      <c r="F2" t="inlineStr">
        <is>
          <t>WIDTH</t>
        </is>
      </c>
      <c r="G2" t="inlineStr">
        <is>
          <t>LENGTH</t>
        </is>
      </c>
      <c r="H2" t="inlineStr">
        <is>
          <t>QTY</t>
        </is>
      </c>
      <c r="I2" t="inlineStr">
        <is>
          <t>FAB QTY</t>
        </is>
      </c>
      <c r="J2" t="inlineStr">
        <is>
          <t>TOTAL QTY</t>
        </is>
      </c>
      <c r="K2" t="inlineStr">
        <is>
          <t>UNIT WT</t>
        </is>
      </c>
      <c r="L2" t="inlineStr">
        <is>
          <t xml:space="preserve"> CALCULATED WT</t>
        </is>
      </c>
      <c r="M2" t="inlineStr">
        <is>
          <t>TOTAL CALCULATED WT</t>
        </is>
      </c>
      <c r="N2" t="inlineStr">
        <is>
          <t>WT</t>
        </is>
      </c>
      <c r="O2" t="inlineStr">
        <is>
          <t>TOTAL DRG WT</t>
        </is>
      </c>
      <c r="P2" t="inlineStr">
        <is>
          <t>DIFFRENCE</t>
        </is>
      </c>
      <c r="Q2" t="inlineStr">
        <is>
          <t>GRADE</t>
        </is>
      </c>
      <c r="R2" t="inlineStr">
        <is>
          <t>UNIT WT SOURCE</t>
        </is>
      </c>
      <c r="S2" t="inlineStr">
        <is>
          <t>NOTE</t>
        </is>
      </c>
    </row>
    <row r="3">
      <c r="A3" t="inlineStr">
        <is>
          <t>TST-SFD-46-01-01-07-000-16807</t>
        </is>
      </c>
      <c r="B3" t="inlineStr">
        <is>
          <t>GUTTER</t>
        </is>
      </c>
      <c r="C3" t="inlineStr">
        <is>
          <t>2GU1</t>
        </is>
      </c>
      <c r="D3" t="inlineStr">
        <is>
          <t>2GU1</t>
        </is>
      </c>
      <c r="E3" t="inlineStr">
        <is>
          <t>PL6</t>
        </is>
      </c>
      <c r="F3" t="n">
        <v>1067</v>
      </c>
      <c r="G3" t="n">
        <v>1478.4</v>
      </c>
      <c r="H3" t="n">
        <v>1</v>
      </c>
      <c r="I3" t="n">
        <v>1</v>
      </c>
      <c r="J3">
        <f>H3*I3</f>
        <v/>
      </c>
      <c r="K3">
        <f>7.85*6</f>
        <v/>
      </c>
      <c r="L3">
        <f>(F3/1000)*(G3/1000)*H3*K3</f>
        <v/>
      </c>
      <c r="M3">
        <f>L3*I3</f>
        <v/>
      </c>
      <c r="N3" t="n">
        <v>74.3</v>
      </c>
      <c r="O3">
        <f>N3*I3</f>
        <v/>
      </c>
      <c r="P3">
        <f>M3-O3</f>
        <v/>
      </c>
      <c r="Q3" t="inlineStr">
        <is>
          <t>E350A</t>
        </is>
      </c>
      <c r="R3" t="inlineStr">
        <is>
          <t>7.85 x t</t>
        </is>
      </c>
      <c r="S3" t="inlineStr"/>
    </row>
    <row r="4">
      <c r="A4" t="inlineStr">
        <is>
          <t>TST-SFD-46-01-01-07-000-16807</t>
        </is>
      </c>
      <c r="B4" t="inlineStr">
        <is>
          <t>GUTTER</t>
        </is>
      </c>
      <c r="C4" t="inlineStr">
        <is>
          <t>2GU1</t>
        </is>
      </c>
      <c r="D4" t="inlineStr">
        <is>
          <t>2m272</t>
        </is>
      </c>
      <c r="E4" t="inlineStr">
        <is>
          <t>ISMC150</t>
        </is>
      </c>
      <c r="G4" t="n">
        <v>9088</v>
      </c>
      <c r="H4" t="n">
        <v>1</v>
      </c>
      <c r="I4" t="n">
        <v>1</v>
      </c>
      <c r="J4">
        <f>H4*I4</f>
        <v/>
      </c>
      <c r="K4" t="n">
        <v>16.8</v>
      </c>
      <c r="L4">
        <f>(G4/1000)*H4*K4</f>
        <v/>
      </c>
      <c r="M4">
        <f>L4*I4</f>
        <v/>
      </c>
      <c r="N4" t="n">
        <v>149.48</v>
      </c>
      <c r="O4">
        <f>N4*I4</f>
        <v/>
      </c>
      <c r="P4">
        <f>M4-O4</f>
        <v/>
      </c>
      <c r="Q4" t="inlineStr">
        <is>
          <t>E250A</t>
        </is>
      </c>
      <c r="R4" t="inlineStr">
        <is>
          <t>IS 808 table</t>
        </is>
      </c>
      <c r="S4" t="inlineStr"/>
    </row>
    <row r="5">
      <c r="A5" t="inlineStr">
        <is>
          <t>TST-SFD-46-01-01-07-000-16807</t>
        </is>
      </c>
      <c r="B5" t="inlineStr">
        <is>
          <t>GUTTER</t>
        </is>
      </c>
      <c r="C5" t="inlineStr">
        <is>
          <t>2GU1</t>
        </is>
      </c>
      <c r="D5" t="inlineStr">
        <is>
          <t>2m273</t>
        </is>
      </c>
      <c r="E5" t="inlineStr">
        <is>
          <t>ISA75X75X8</t>
        </is>
      </c>
      <c r="G5" t="n">
        <v>9088</v>
      </c>
      <c r="H5" t="n">
        <v>1</v>
      </c>
      <c r="I5" t="n">
        <v>1</v>
      </c>
      <c r="J5">
        <f>H5*I5</f>
        <v/>
      </c>
      <c r="K5" t="n">
        <v>8.9</v>
      </c>
      <c r="L5">
        <f>(G5/1000)*H5*K5</f>
        <v/>
      </c>
      <c r="M5">
        <f>L5*I5</f>
        <v/>
      </c>
      <c r="N5" t="n">
        <v>81.18000000000001</v>
      </c>
      <c r="O5">
        <f>N5*I5</f>
        <v/>
      </c>
      <c r="P5">
        <f>M5-O5</f>
        <v/>
      </c>
      <c r="Q5" t="inlineStr">
        <is>
          <t>E250A</t>
        </is>
      </c>
      <c r="R5" t="inlineStr">
        <is>
          <t>IS 808 table</t>
        </is>
      </c>
      <c r="S5" t="inlineStr"/>
    </row>
    <row r="6">
      <c r="A6" t="inlineStr">
        <is>
          <t>TST-SFD-46-01-01-07-000-16807</t>
        </is>
      </c>
      <c r="B6" t="inlineStr">
        <is>
          <t>GUTTER</t>
        </is>
      </c>
      <c r="C6" t="inlineStr">
        <is>
          <t>2GU1</t>
        </is>
      </c>
      <c r="D6" t="inlineStr">
        <is>
          <t>2p205</t>
        </is>
      </c>
      <c r="E6" t="inlineStr">
        <is>
          <t>PL8</t>
        </is>
      </c>
      <c r="F6" t="n">
        <v>50</v>
      </c>
      <c r="G6" t="n">
        <v>400.3</v>
      </c>
      <c r="H6" t="n">
        <v>18</v>
      </c>
      <c r="I6" t="n">
        <v>1</v>
      </c>
      <c r="J6">
        <f>H6*I6</f>
        <v/>
      </c>
      <c r="K6">
        <f>7.85*8</f>
        <v/>
      </c>
      <c r="L6">
        <f>(F6/1000)*(G6/1000)*H6*K6</f>
        <v/>
      </c>
      <c r="M6">
        <f>L6*I6</f>
        <v/>
      </c>
      <c r="N6" t="n">
        <v>22.62</v>
      </c>
      <c r="O6">
        <f>N6*I6</f>
        <v/>
      </c>
      <c r="P6">
        <f>M6-O6</f>
        <v/>
      </c>
      <c r="Q6" t="inlineStr">
        <is>
          <t>E350A</t>
        </is>
      </c>
      <c r="R6" t="inlineStr">
        <is>
          <t>7.85 x t</t>
        </is>
      </c>
      <c r="S6" t="inlineStr"/>
    </row>
    <row r="7">
      <c r="A7" t="inlineStr">
        <is>
          <t>TST-SFD-46-01-01-07-000-16807</t>
        </is>
      </c>
      <c r="B7" t="inlineStr">
        <is>
          <t>GUTTER</t>
        </is>
      </c>
      <c r="C7" t="inlineStr">
        <is>
          <t>2GU1</t>
        </is>
      </c>
      <c r="D7" t="inlineStr">
        <is>
          <t>2p206</t>
        </is>
      </c>
      <c r="E7" t="inlineStr">
        <is>
          <t>PL8</t>
        </is>
      </c>
      <c r="F7" t="n">
        <v>50</v>
      </c>
      <c r="G7" t="n">
        <v>738.6</v>
      </c>
      <c r="H7" t="n">
        <v>18</v>
      </c>
      <c r="I7" t="n">
        <v>1</v>
      </c>
      <c r="J7">
        <f>H7*I7</f>
        <v/>
      </c>
      <c r="K7">
        <f>7.85*8</f>
        <v/>
      </c>
      <c r="L7">
        <f>(F7/1000)*(G7/1000)*H7*K7</f>
        <v/>
      </c>
      <c r="M7">
        <f>L7*I7</f>
        <v/>
      </c>
      <c r="N7" t="n">
        <v>41.73</v>
      </c>
      <c r="O7">
        <f>N7*I7</f>
        <v/>
      </c>
      <c r="P7">
        <f>M7-O7</f>
        <v/>
      </c>
      <c r="Q7" t="inlineStr">
        <is>
          <t>E350A</t>
        </is>
      </c>
      <c r="R7" t="inlineStr">
        <is>
          <t>7.85 x t</t>
        </is>
      </c>
      <c r="S7" t="inlineStr"/>
    </row>
    <row r="8">
      <c r="A8" t="inlineStr">
        <is>
          <t>TST-SFD-46-01-01-07-000-16807</t>
        </is>
      </c>
      <c r="B8" t="inlineStr">
        <is>
          <t>GUTTER</t>
        </is>
      </c>
      <c r="C8" t="inlineStr">
        <is>
          <t>2GU1</t>
        </is>
      </c>
      <c r="D8" t="inlineStr">
        <is>
          <t>2p207</t>
        </is>
      </c>
      <c r="E8" t="inlineStr">
        <is>
          <t>PL8</t>
        </is>
      </c>
      <c r="F8" t="n">
        <v>50</v>
      </c>
      <c r="G8" t="n">
        <v>451.3</v>
      </c>
      <c r="H8" t="n">
        <v>18</v>
      </c>
      <c r="I8" t="n">
        <v>1</v>
      </c>
      <c r="J8">
        <f>H8*I8</f>
        <v/>
      </c>
      <c r="K8">
        <f>7.85*8</f>
        <v/>
      </c>
      <c r="L8">
        <f>(F8/1000)*(G8/1000)*H8*K8</f>
        <v/>
      </c>
      <c r="M8">
        <f>L8*I8</f>
        <v/>
      </c>
      <c r="N8" t="n">
        <v>25.51</v>
      </c>
      <c r="O8">
        <f>N8*I8</f>
        <v/>
      </c>
      <c r="P8">
        <f>M8-O8</f>
        <v/>
      </c>
      <c r="Q8" t="inlineStr">
        <is>
          <t>E350A</t>
        </is>
      </c>
      <c r="R8" t="inlineStr">
        <is>
          <t>7.85 x t</t>
        </is>
      </c>
      <c r="S8" t="inlineStr"/>
    </row>
    <row r="9">
      <c r="A9" t="inlineStr">
        <is>
          <t>TST-SFD-46-01-01-07-000-16807</t>
        </is>
      </c>
      <c r="B9" t="inlineStr">
        <is>
          <t>GUTTER</t>
        </is>
      </c>
      <c r="C9" t="inlineStr">
        <is>
          <t>2GU1</t>
        </is>
      </c>
      <c r="D9" t="inlineStr">
        <is>
          <t>2p208</t>
        </is>
      </c>
      <c r="E9" t="inlineStr">
        <is>
          <t>PL6</t>
        </is>
      </c>
      <c r="F9" t="n">
        <v>1478</v>
      </c>
      <c r="G9" t="n">
        <v>2000</v>
      </c>
      <c r="H9" t="n">
        <v>4</v>
      </c>
      <c r="I9" t="n">
        <v>1</v>
      </c>
      <c r="J9">
        <f>H9*I9</f>
        <v/>
      </c>
      <c r="K9">
        <f>7.85*6</f>
        <v/>
      </c>
      <c r="L9">
        <f>(F9/1000)*(G9/1000)*H9*K9</f>
        <v/>
      </c>
      <c r="M9">
        <f>L9*I9</f>
        <v/>
      </c>
      <c r="N9" t="n">
        <v>557.0700000000001</v>
      </c>
      <c r="O9">
        <f>N9*I9</f>
        <v/>
      </c>
      <c r="P9">
        <f>M9-O9</f>
        <v/>
      </c>
      <c r="Q9" t="inlineStr">
        <is>
          <t>E350A</t>
        </is>
      </c>
      <c r="R9" t="inlineStr">
        <is>
          <t>7.85 x t</t>
        </is>
      </c>
      <c r="S9" t="inlineStr"/>
    </row>
    <row r="10">
      <c r="A10" t="inlineStr">
        <is>
          <t>TST-SFD-46-01-01-07-000-16807</t>
        </is>
      </c>
      <c r="B10" t="inlineStr">
        <is>
          <t>GUTTER</t>
        </is>
      </c>
      <c r="C10" t="inlineStr">
        <is>
          <t>2GU1</t>
        </is>
      </c>
      <c r="D10" t="inlineStr">
        <is>
          <t>2p209</t>
        </is>
      </c>
      <c r="E10" t="inlineStr">
        <is>
          <t>PL6</t>
        </is>
      </c>
      <c r="F10" t="n">
        <v>75</v>
      </c>
      <c r="G10" t="n">
        <v>1412.4</v>
      </c>
      <c r="H10" t="n">
        <v>5</v>
      </c>
      <c r="I10" t="n">
        <v>1</v>
      </c>
      <c r="J10">
        <f>H10*I10</f>
        <v/>
      </c>
      <c r="K10">
        <f>7.85*6</f>
        <v/>
      </c>
      <c r="L10">
        <f>(F10/1000)*(G10/1000)*H10*K10</f>
        <v/>
      </c>
      <c r="M10">
        <f>L10*I10</f>
        <v/>
      </c>
      <c r="N10" t="n">
        <v>24.95</v>
      </c>
      <c r="O10">
        <f>N10*I10</f>
        <v/>
      </c>
      <c r="P10">
        <f>M10-O10</f>
        <v/>
      </c>
      <c r="Q10" t="inlineStr">
        <is>
          <t>E350A</t>
        </is>
      </c>
      <c r="R10" t="inlineStr">
        <is>
          <t>7.85 x t</t>
        </is>
      </c>
      <c r="S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drawing_no</t>
        </is>
      </c>
      <c r="B1" t="inlineStr">
        <is>
          <t>rev</t>
        </is>
      </c>
      <c r="C1" t="inlineStr">
        <is>
          <t>sheet</t>
        </is>
      </c>
      <c r="D1" t="inlineStr">
        <is>
          <t>size</t>
        </is>
      </c>
      <c r="E1" t="inlineStr">
        <is>
          <t>weight_kg</t>
        </is>
      </c>
      <c r="F1" t="inlineStr">
        <is>
          <t>department</t>
        </is>
      </c>
      <c r="G1" t="inlineStr">
        <is>
          <t>equip_area</t>
        </is>
      </c>
      <c r="H1" t="inlineStr">
        <is>
          <t>project</t>
        </is>
      </c>
      <c r="I1" t="inlineStr">
        <is>
          <t>title</t>
        </is>
      </c>
      <c r="J1" t="inlineStr">
        <is>
          <t>drawn</t>
        </is>
      </c>
      <c r="K1" t="inlineStr">
        <is>
          <t>checked</t>
        </is>
      </c>
      <c r="L1" t="inlineStr">
        <is>
          <t>approved</t>
        </is>
      </c>
      <c r="M1" t="inlineStr">
        <is>
          <t>assembly_mark</t>
        </is>
      </c>
      <c r="N1" t="inlineStr">
        <is>
          <t>erection_locations</t>
        </is>
      </c>
      <c r="O1" t="inlineStr">
        <is>
          <t>source_file</t>
        </is>
      </c>
    </row>
    <row r="2">
      <c r="A2" t="inlineStr">
        <is>
          <t>TST-SFD-46-01-01-07-000-16807</t>
        </is>
      </c>
      <c r="B2" t="inlineStr">
        <is>
          <t>0</t>
        </is>
      </c>
      <c r="C2" t="inlineStr">
        <is>
          <t>1 OF 1</t>
        </is>
      </c>
      <c r="D2" t="inlineStr">
        <is>
          <t>A0</t>
        </is>
      </c>
      <c r="E2" t="n">
        <v>976.84</v>
      </c>
      <c r="F2" t="inlineStr">
        <is>
          <t>DESIGN &amp; ENGINEERING-STRUCTURAL</t>
        </is>
      </c>
      <c r="G2" t="inlineStr">
        <is>
          <t>HOT ROLLED PICKLING GALVANIZED LINE (HRPGL)</t>
        </is>
      </c>
      <c r="H2" t="inlineStr"/>
      <c r="I2" t="inlineStr">
        <is>
          <t>SHED FOR POCIL PLOT LOT-2 / DETAIL OF GUTTER MKD AS -2GU1</t>
        </is>
      </c>
      <c r="J2" t="inlineStr">
        <is>
          <t>IRCON 18.07.2026</t>
        </is>
      </c>
      <c r="K2" t="inlineStr">
        <is>
          <t>SKS/NBT 18.07.2026</t>
        </is>
      </c>
      <c r="L2" t="inlineStr">
        <is>
          <t>SSA 18.07.2026</t>
        </is>
      </c>
      <c r="M2" t="inlineStr">
        <is>
          <t>2GU1</t>
        </is>
      </c>
      <c r="N2" t="inlineStr">
        <is>
          <t>14-15/&lt;LEG-1 EL. +17.115</t>
        </is>
      </c>
      <c r="O2" t="inlineStr">
        <is>
          <t>TST-SFD-46-01-01-07-000-16807_20260813154646827.pdf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section</t>
        </is>
      </c>
      <c r="C1" t="inlineStr">
        <is>
          <t>length_mm</t>
        </is>
      </c>
      <c r="D1" t="inlineStr">
        <is>
          <t>qty</t>
        </is>
      </c>
      <c r="E1" t="inlineStr">
        <is>
          <t>pc_wt</t>
        </is>
      </c>
      <c r="F1" t="inlineStr">
        <is>
          <t>net_kg</t>
        </is>
      </c>
      <c r="G1" t="inlineStr">
        <is>
          <t>gross_kg</t>
        </is>
      </c>
      <c r="H1" t="inlineStr">
        <is>
          <t>material</t>
        </is>
      </c>
      <c r="I1" t="inlineStr">
        <is>
          <t>remarks</t>
        </is>
      </c>
      <c r="J1" t="inlineStr">
        <is>
          <t>surface_area_m2</t>
        </is>
      </c>
      <c r="K1" t="inlineStr">
        <is>
          <t>assembly_mark</t>
        </is>
      </c>
      <c r="L1" t="inlineStr">
        <is>
          <t>assembly_qty</t>
        </is>
      </c>
      <c r="M1" t="inlineStr">
        <is>
          <t>drawing_no</t>
        </is>
      </c>
    </row>
    <row r="2">
      <c r="A2" t="inlineStr">
        <is>
          <t>2GU1</t>
        </is>
      </c>
      <c r="B2" t="inlineStr">
        <is>
          <t>PL6*1067</t>
        </is>
      </c>
      <c r="C2" t="n">
        <v>1478.4</v>
      </c>
      <c r="D2" t="n">
        <v>1</v>
      </c>
      <c r="E2" t="n">
        <v>74.3</v>
      </c>
      <c r="F2" t="n">
        <v>74.3</v>
      </c>
      <c r="G2" t="n">
        <v>74.3</v>
      </c>
      <c r="H2" t="inlineStr">
        <is>
          <t>E350A</t>
        </is>
      </c>
      <c r="I2" t="inlineStr"/>
      <c r="J2" t="n">
        <v>3.19</v>
      </c>
      <c r="K2" t="inlineStr">
        <is>
          <t>2GU1</t>
        </is>
      </c>
      <c r="L2" t="n">
        <v>1</v>
      </c>
      <c r="M2" t="inlineStr">
        <is>
          <t>TST-SFD-46-01-01-07-000-16807</t>
        </is>
      </c>
    </row>
    <row r="3">
      <c r="A3" t="inlineStr">
        <is>
          <t>2m272</t>
        </is>
      </c>
      <c r="B3" t="inlineStr">
        <is>
          <t>ISMC150</t>
        </is>
      </c>
      <c r="C3" t="n">
        <v>9088</v>
      </c>
      <c r="D3" t="n">
        <v>1</v>
      </c>
      <c r="E3" t="n">
        <v>149.48</v>
      </c>
      <c r="F3" t="n">
        <v>151.96</v>
      </c>
      <c r="G3" t="n">
        <v>149.48</v>
      </c>
      <c r="H3" t="inlineStr">
        <is>
          <t>E250A</t>
        </is>
      </c>
      <c r="I3" t="inlineStr"/>
      <c r="J3" t="n">
        <v>5.16</v>
      </c>
      <c r="K3" t="inlineStr">
        <is>
          <t>2GU1</t>
        </is>
      </c>
      <c r="L3" t="n">
        <v>1</v>
      </c>
      <c r="M3" t="inlineStr">
        <is>
          <t>TST-SFD-46-01-01-07-000-16807</t>
        </is>
      </c>
    </row>
    <row r="4">
      <c r="A4" t="inlineStr">
        <is>
          <t>2m273</t>
        </is>
      </c>
      <c r="B4" t="inlineStr">
        <is>
          <t>ISA75X75X8</t>
        </is>
      </c>
      <c r="C4" t="n">
        <v>9088</v>
      </c>
      <c r="D4" t="n">
        <v>1</v>
      </c>
      <c r="E4" t="n">
        <v>81.18000000000001</v>
      </c>
      <c r="F4" t="n">
        <v>81.31999999999999</v>
      </c>
      <c r="G4" t="n">
        <v>81.18000000000001</v>
      </c>
      <c r="H4" t="inlineStr">
        <is>
          <t>E250A</t>
        </is>
      </c>
      <c r="I4" t="inlineStr"/>
      <c r="J4" t="n">
        <v>2.66</v>
      </c>
      <c r="K4" t="inlineStr">
        <is>
          <t>2GU1</t>
        </is>
      </c>
      <c r="L4" t="n">
        <v>1</v>
      </c>
      <c r="M4" t="inlineStr">
        <is>
          <t>TST-SFD-46-01-01-07-000-16807</t>
        </is>
      </c>
    </row>
    <row r="5">
      <c r="A5" t="inlineStr">
        <is>
          <t>2p205</t>
        </is>
      </c>
      <c r="B5" t="inlineStr">
        <is>
          <t>PLT8*50</t>
        </is>
      </c>
      <c r="C5" t="n">
        <v>400.3</v>
      </c>
      <c r="D5" t="n">
        <v>18</v>
      </c>
      <c r="E5" t="n">
        <v>1.26</v>
      </c>
      <c r="F5" t="n">
        <v>21.21</v>
      </c>
      <c r="G5" t="n">
        <v>22.62</v>
      </c>
      <c r="H5" t="inlineStr">
        <is>
          <t>E350A</t>
        </is>
      </c>
      <c r="I5" t="inlineStr"/>
      <c r="J5" t="n">
        <v>0.04</v>
      </c>
      <c r="K5" t="inlineStr">
        <is>
          <t>2GU1</t>
        </is>
      </c>
      <c r="L5" t="n">
        <v>1</v>
      </c>
      <c r="M5" t="inlineStr">
        <is>
          <t>TST-SFD-46-01-01-07-000-16807</t>
        </is>
      </c>
    </row>
    <row r="6">
      <c r="A6" t="inlineStr">
        <is>
          <t>2p206</t>
        </is>
      </c>
      <c r="B6" t="inlineStr">
        <is>
          <t>PLT8*50</t>
        </is>
      </c>
      <c r="C6" t="n">
        <v>738.6</v>
      </c>
      <c r="D6" t="n">
        <v>18</v>
      </c>
      <c r="E6" t="n">
        <v>2.32</v>
      </c>
      <c r="F6" t="n">
        <v>39.44</v>
      </c>
      <c r="G6" t="n">
        <v>41.73</v>
      </c>
      <c r="H6" t="inlineStr">
        <is>
          <t>E350A</t>
        </is>
      </c>
      <c r="I6" t="inlineStr"/>
      <c r="J6" t="n">
        <v>0.08</v>
      </c>
      <c r="K6" t="inlineStr">
        <is>
          <t>2GU1</t>
        </is>
      </c>
      <c r="L6" t="n">
        <v>1</v>
      </c>
      <c r="M6" t="inlineStr">
        <is>
          <t>TST-SFD-46-01-01-07-000-16807</t>
        </is>
      </c>
    </row>
    <row r="7">
      <c r="A7" t="inlineStr">
        <is>
          <t>2p207</t>
        </is>
      </c>
      <c r="B7" t="inlineStr">
        <is>
          <t>PLT8*50</t>
        </is>
      </c>
      <c r="C7" t="n">
        <v>451.3</v>
      </c>
      <c r="D7" t="n">
        <v>18</v>
      </c>
      <c r="E7" t="n">
        <v>1.42</v>
      </c>
      <c r="F7" t="n">
        <v>23.88</v>
      </c>
      <c r="G7" t="n">
        <v>25.51</v>
      </c>
      <c r="H7" t="inlineStr">
        <is>
          <t>E350A</t>
        </is>
      </c>
      <c r="I7" t="inlineStr"/>
      <c r="J7" t="n">
        <v>0.05</v>
      </c>
      <c r="K7" t="inlineStr">
        <is>
          <t>2GU1</t>
        </is>
      </c>
      <c r="L7" t="n">
        <v>1</v>
      </c>
      <c r="M7" t="inlineStr">
        <is>
          <t>TST-SFD-46-01-01-07-000-16807</t>
        </is>
      </c>
    </row>
    <row r="8">
      <c r="A8" t="inlineStr">
        <is>
          <t>2p208</t>
        </is>
      </c>
      <c r="B8" t="inlineStr">
        <is>
          <t>PL6*1478</t>
        </is>
      </c>
      <c r="C8" t="n">
        <v>2000</v>
      </c>
      <c r="D8" t="n">
        <v>4</v>
      </c>
      <c r="E8" t="n">
        <v>139.27</v>
      </c>
      <c r="F8" t="n">
        <v>557.0700000000001</v>
      </c>
      <c r="G8" t="n">
        <v>557.0700000000001</v>
      </c>
      <c r="H8" t="inlineStr">
        <is>
          <t>E350A</t>
        </is>
      </c>
      <c r="I8" t="inlineStr"/>
      <c r="J8" t="n">
        <v>5.96</v>
      </c>
      <c r="K8" t="inlineStr">
        <is>
          <t>2GU1</t>
        </is>
      </c>
      <c r="L8" t="n">
        <v>1</v>
      </c>
      <c r="M8" t="inlineStr">
        <is>
          <t>TST-SFD-46-01-01-07-000-16807</t>
        </is>
      </c>
    </row>
    <row r="9">
      <c r="A9" t="inlineStr">
        <is>
          <t>2p209</t>
        </is>
      </c>
      <c r="B9" t="inlineStr">
        <is>
          <t>PL6*75</t>
        </is>
      </c>
      <c r="C9" t="n">
        <v>1412.4</v>
      </c>
      <c r="D9" t="n">
        <v>5</v>
      </c>
      <c r="E9" t="n">
        <v>4.99</v>
      </c>
      <c r="F9" t="n">
        <v>24.95</v>
      </c>
      <c r="G9" t="n">
        <v>24.95</v>
      </c>
      <c r="H9" t="inlineStr">
        <is>
          <t>E350A</t>
        </is>
      </c>
      <c r="I9" t="inlineStr"/>
      <c r="J9" t="n">
        <v>0.23</v>
      </c>
      <c r="K9" t="inlineStr">
        <is>
          <t>2GU1</t>
        </is>
      </c>
      <c r="L9" t="n">
        <v>1</v>
      </c>
      <c r="M9" t="inlineStr">
        <is>
          <t>TST-SFD-46-01-01-07-000-16807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mark_no</t>
        </is>
      </c>
      <c r="B1" t="inlineStr">
        <is>
          <t>grid_location</t>
        </is>
      </c>
      <c r="C1" t="inlineStr">
        <is>
          <t>level</t>
        </is>
      </c>
    </row>
    <row r="2">
      <c r="A2" t="inlineStr">
        <is>
          <t>2GU1</t>
        </is>
      </c>
      <c r="B2" t="inlineStr">
        <is>
          <t>14-15/&lt;LEG-1</t>
        </is>
      </c>
      <c r="C2" t="inlineStr">
        <is>
          <t>EL. +17.115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</t>
        </is>
      </c>
      <c r="B1" t="inlineStr">
        <is>
          <t>description</t>
        </is>
      </c>
      <c r="C1" t="inlineStr">
        <is>
          <t>total_wt</t>
        </is>
      </c>
    </row>
    <row r="2">
      <c r="A2" t="n">
        <v>1</v>
      </c>
      <c r="B2" t="inlineStr">
        <is>
          <t>ISA75X75X8</t>
        </is>
      </c>
      <c r="C2" t="n">
        <v>81.18000000000001</v>
      </c>
    </row>
    <row r="3">
      <c r="A3" t="n">
        <v>2</v>
      </c>
      <c r="B3" t="inlineStr">
        <is>
          <t>ISMC150</t>
        </is>
      </c>
      <c r="C3" t="n">
        <v>149.48</v>
      </c>
    </row>
    <row r="4">
      <c r="A4" t="n">
        <v>3</v>
      </c>
      <c r="B4" t="inlineStr">
        <is>
          <t>PL 6 THK</t>
        </is>
      </c>
      <c r="C4" t="n">
        <v>656.3099999999999</v>
      </c>
    </row>
    <row r="5">
      <c r="A5" t="n">
        <v>4</v>
      </c>
      <c r="B5" t="inlineStr">
        <is>
          <t>PL 8 THK</t>
        </is>
      </c>
      <c r="C5" t="n">
        <v>89.87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</t>
        </is>
      </c>
      <c r="B1" t="inlineStr">
        <is>
          <t>date</t>
        </is>
      </c>
      <c r="C1" t="inlineStr">
        <is>
          <t>description</t>
        </is>
      </c>
      <c r="D1" t="inlineStr">
        <is>
          <t>drn</t>
        </is>
      </c>
      <c r="E1" t="inlineStr">
        <is>
          <t>chd</t>
        </is>
      </c>
      <c r="F1" t="inlineStr">
        <is>
          <t>app</t>
        </is>
      </c>
    </row>
    <row r="2">
      <c r="A2" t="inlineStr">
        <is>
          <t>0</t>
        </is>
      </c>
      <c r="B2" t="inlineStr">
        <is>
          <t>18.07.2026</t>
        </is>
      </c>
      <c r="C2" t="inlineStr">
        <is>
          <t>ISSUED FOR CONSTRUCTION</t>
        </is>
      </c>
      <c r="D2" t="inlineStr">
        <is>
          <t>IRCON</t>
        </is>
      </c>
      <c r="E2" t="inlineStr">
        <is>
          <t>SKS/NBT</t>
        </is>
      </c>
      <c r="F2" t="inlineStr">
        <is>
          <t>SSA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1. ALL DIMENSIONS ARE IN mm &amp; LEVELS ARE IN METER(UNO)</t>
        </is>
      </c>
    </row>
    <row r="3">
      <c r="A3" t="inlineStr">
        <is>
          <t>2. ALL WELDS SHALL BE 6MM FILLET WELDS U.N.O. TST-SFD-46-01-01-07-000-16690 TO 16708</t>
        </is>
      </c>
    </row>
    <row r="4">
      <c r="A4" t="inlineStr">
        <is>
          <t>3. FOR MARKING REF. DRG. NO.</t>
        </is>
      </c>
    </row>
    <row r="5">
      <c r="A5" t="inlineStr">
        <is>
          <t>4. ALL PERMANENT BOLTS ARE FULL THREADED.</t>
        </is>
      </c>
    </row>
    <row r="6">
      <c r="A6" t="inlineStr">
        <is>
          <t>5. ERECTION BOLT/”C” CLAMP/”L” CLAMP AS APPLICABLE SHALL BE USED DURING STRUCTURAL ASSEMBLY IN FABRICATION SHOP.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kind</t>
        </is>
      </c>
      <c r="C1" t="inlineStr">
        <is>
          <t>ref</t>
        </is>
      </c>
      <c r="D1" t="inlineStr">
        <is>
          <t>scale</t>
        </is>
      </c>
      <c r="E1" t="inlineStr">
        <is>
          <t>cell</t>
        </is>
      </c>
    </row>
    <row r="2">
      <c r="A2" t="inlineStr">
        <is>
          <t>A - A</t>
        </is>
      </c>
      <c r="B2" t="inlineStr">
        <is>
          <t>section</t>
        </is>
      </c>
      <c r="C2" t="inlineStr">
        <is>
          <t>A</t>
        </is>
      </c>
      <c r="D2" t="inlineStr">
        <is>
          <t>1:10</t>
        </is>
      </c>
      <c r="E2" t="inlineStr">
        <is>
          <t>M4</t>
        </is>
      </c>
    </row>
    <row r="3">
      <c r="A3" t="inlineStr">
        <is>
          <t>B - B</t>
        </is>
      </c>
      <c r="B3" t="inlineStr">
        <is>
          <t>section</t>
        </is>
      </c>
      <c r="C3" t="inlineStr">
        <is>
          <t>B</t>
        </is>
      </c>
      <c r="D3" t="inlineStr">
        <is>
          <t>1:10</t>
        </is>
      </c>
      <c r="E3" t="inlineStr">
        <is>
          <t>L7</t>
        </is>
      </c>
    </row>
    <row r="4">
      <c r="A4" t="inlineStr">
        <is>
          <t>H - H</t>
        </is>
      </c>
      <c r="B4" t="inlineStr">
        <is>
          <t>section</t>
        </is>
      </c>
      <c r="C4" t="inlineStr">
        <is>
          <t>H</t>
        </is>
      </c>
      <c r="D4" t="inlineStr">
        <is>
          <t>1:10</t>
        </is>
      </c>
      <c r="E4" t="inlineStr">
        <is>
          <t>E16</t>
        </is>
      </c>
    </row>
    <row r="5">
      <c r="A5" t="inlineStr">
        <is>
          <t>MARK. NO:- 2GU1</t>
        </is>
      </c>
      <c r="B5" t="inlineStr">
        <is>
          <t>detail</t>
        </is>
      </c>
      <c r="C5" t="inlineStr">
        <is>
          <t>2GU1</t>
        </is>
      </c>
      <c r="D5" t="inlineStr"/>
      <c r="E5" t="inlineStr">
        <is>
          <t>D7</t>
        </is>
      </c>
    </row>
    <row r="6">
      <c r="A6" t="inlineStr">
        <is>
          <t>MARK. NO:- 2p205</t>
        </is>
      </c>
      <c r="B6" t="inlineStr">
        <is>
          <t>detail</t>
        </is>
      </c>
      <c r="C6" t="inlineStr">
        <is>
          <t>2p205</t>
        </is>
      </c>
      <c r="D6" t="inlineStr"/>
      <c r="E6" t="inlineStr">
        <is>
          <t>C9</t>
        </is>
      </c>
    </row>
    <row r="7">
      <c r="A7" t="inlineStr">
        <is>
          <t>MARK. NO:- 2p206</t>
        </is>
      </c>
      <c r="B7" t="inlineStr">
        <is>
          <t>detail</t>
        </is>
      </c>
      <c r="C7" t="inlineStr">
        <is>
          <t>2p206</t>
        </is>
      </c>
      <c r="D7" t="inlineStr"/>
      <c r="E7" t="inlineStr">
        <is>
          <t>B9</t>
        </is>
      </c>
    </row>
    <row r="8">
      <c r="A8" t="inlineStr">
        <is>
          <t>MARK. NO:- 2p207</t>
        </is>
      </c>
      <c r="B8" t="inlineStr">
        <is>
          <t>detail</t>
        </is>
      </c>
      <c r="C8" t="inlineStr">
        <is>
          <t>2p207</t>
        </is>
      </c>
      <c r="D8" t="inlineStr"/>
      <c r="E8" t="inlineStr">
        <is>
          <t>C9</t>
        </is>
      </c>
    </row>
    <row r="9">
      <c r="A9" t="inlineStr">
        <is>
          <t>MARK. NO:- 2p208</t>
        </is>
      </c>
      <c r="B9" t="inlineStr">
        <is>
          <t>detail</t>
        </is>
      </c>
      <c r="C9" t="inlineStr">
        <is>
          <t>2p208</t>
        </is>
      </c>
      <c r="D9" t="inlineStr"/>
      <c r="E9" t="inlineStr">
        <is>
          <t>E17</t>
        </is>
      </c>
    </row>
    <row r="10">
      <c r="A10" t="inlineStr">
        <is>
          <t>MARK. NO:- 2p209</t>
        </is>
      </c>
      <c r="B10" t="inlineStr">
        <is>
          <t>detail</t>
        </is>
      </c>
      <c r="C10" t="inlineStr">
        <is>
          <t>2p209</t>
        </is>
      </c>
      <c r="D10" t="inlineStr"/>
      <c r="E10" t="inlineStr">
        <is>
          <t>D15</t>
        </is>
      </c>
    </row>
    <row r="11">
      <c r="A11" t="inlineStr">
        <is>
          <t>MARK. NO:- 2m272</t>
        </is>
      </c>
      <c r="B11" t="inlineStr">
        <is>
          <t>detail</t>
        </is>
      </c>
      <c r="C11" t="inlineStr">
        <is>
          <t>2m272</t>
        </is>
      </c>
      <c r="D11" t="inlineStr"/>
      <c r="E11" t="inlineStr">
        <is>
          <t>E9</t>
        </is>
      </c>
    </row>
    <row r="12">
      <c r="A12" t="inlineStr">
        <is>
          <t>MARK. NO:- 2m273</t>
        </is>
      </c>
      <c r="B12" t="inlineStr">
        <is>
          <t>detail</t>
        </is>
      </c>
      <c r="C12" t="inlineStr">
        <is>
          <t>2m273</t>
        </is>
      </c>
      <c r="D12" t="inlineStr"/>
      <c r="E12" t="inlineStr">
        <is>
          <t>E15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level</t>
        </is>
      </c>
      <c r="C1" t="inlineStr">
        <is>
          <t>message</t>
        </is>
      </c>
      <c r="D1" t="inlineStr">
        <is>
          <t>region</t>
        </is>
      </c>
    </row>
    <row r="2">
      <c r="A2" t="inlineStr">
        <is>
          <t>bom.row_arith</t>
        </is>
      </c>
      <c r="B2" t="inlineStr">
        <is>
          <t>pass</t>
        </is>
      </c>
      <c r="C2" t="inlineStr">
        <is>
          <t>All 8 rows: qty × pc wt = gross (± rounding).</t>
        </is>
      </c>
      <c r="D2" t="inlineStr">
        <is>
          <t>bom</t>
        </is>
      </c>
    </row>
    <row r="3">
      <c r="A3" t="inlineStr">
        <is>
          <t>bom.gross_total</t>
        </is>
      </c>
      <c r="B3" t="inlineStr">
        <is>
          <t>pass</t>
        </is>
      </c>
      <c r="C3" t="inlineStr">
        <is>
          <t>Σ part gross × assembly qty 1 = 976.84; grand total = 976.84.</t>
        </is>
      </c>
      <c r="D3" t="inlineStr">
        <is>
          <t>bom</t>
        </is>
      </c>
    </row>
    <row r="4">
      <c r="A4" t="inlineStr">
        <is>
          <t>bom.assembly_row</t>
        </is>
      </c>
      <c r="B4" t="inlineStr">
        <is>
          <t>pass</t>
        </is>
      </c>
      <c r="C4" t="inlineStr">
        <is>
          <t>Assembly row 2GU1 gross 976.84 vs grand total 976.84.</t>
        </is>
      </c>
      <c r="D4" t="inlineStr">
        <is>
          <t>bom</t>
        </is>
      </c>
    </row>
    <row r="5">
      <c r="A5" t="inlineStr">
        <is>
          <t>bom.net_total</t>
        </is>
      </c>
      <c r="B5" t="inlineStr">
        <is>
          <t>warn</t>
        </is>
      </c>
      <c r="C5" t="inlineStr">
        <is>
          <t>Σ part net = 974.13 (× qty 1 = 974.13); net total = 971.51. Tekla net totals often differ; informational.</t>
        </is>
      </c>
      <c r="D5" t="inlineStr">
        <is>
          <t>bom</t>
        </is>
      </c>
    </row>
    <row r="6">
      <c r="A6" t="inlineStr">
        <is>
          <t>bom.crosscheck</t>
        </is>
      </c>
      <c r="B6" t="inlineStr">
        <is>
          <t>pass</t>
        </is>
      </c>
      <c r="C6" t="inlineStr">
        <is>
          <t>find_tables() second parse agrees on every row (section, length, qty, gross, material).</t>
        </is>
      </c>
      <c r="D6" t="inlineStr">
        <is>
          <t>bom</t>
        </is>
      </c>
    </row>
    <row r="7">
      <c r="A7" t="inlineStr">
        <is>
          <t>marks.bom_on_sheet</t>
        </is>
      </c>
      <c r="B7" t="inlineStr">
        <is>
          <t>pass</t>
        </is>
      </c>
      <c r="C7" t="inlineStr">
        <is>
          <t>Every BOM mark appears on the drawing.</t>
        </is>
      </c>
      <c r="D7" t="inlineStr">
        <is>
          <t>bom</t>
        </is>
      </c>
    </row>
    <row r="8">
      <c r="A8" t="inlineStr">
        <is>
          <t>title.weight</t>
        </is>
      </c>
      <c r="B8" t="inlineStr">
        <is>
          <t>pass</t>
        </is>
      </c>
      <c r="C8" t="inlineStr">
        <is>
          <t>Title block weight 976.84 vs BOM gross 976.84.</t>
        </is>
      </c>
      <c r="D8" t="inlineStr">
        <is>
          <t>title_block</t>
        </is>
      </c>
    </row>
    <row r="9">
      <c r="A9" t="inlineStr">
        <is>
          <t>mark_location.assembly</t>
        </is>
      </c>
      <c r="B9" t="inlineStr">
        <is>
          <t>pass</t>
        </is>
      </c>
      <c r="C9" t="inlineStr">
        <is>
          <t>Mark box ['2GU1'] vs BOM assembly '2GU1'.</t>
        </is>
      </c>
      <c r="D9" t="inlineStr">
        <is>
          <t>bom</t>
        </is>
      </c>
    </row>
    <row r="10">
      <c r="A10" t="inlineStr">
        <is>
          <t>mark_location.count</t>
        </is>
      </c>
      <c r="B10" t="inlineStr">
        <is>
          <t>pass</t>
        </is>
      </c>
      <c r="C10" t="inlineStr">
        <is>
          <t>1 erection location(s) listed; assembly qty 1.</t>
        </is>
      </c>
      <c r="D10" t="inlineStr">
        <is>
          <t>bom</t>
        </is>
      </c>
    </row>
    <row r="11">
      <c r="A11" t="inlineStr">
        <is>
          <t>abstract.total</t>
        </is>
      </c>
      <c r="B11" t="inlineStr">
        <is>
          <t>pass</t>
        </is>
      </c>
      <c r="C11" t="inlineStr">
        <is>
          <t>Σ abstract = 976.84; abstract total = 976.84; BOM gross = 976.84.</t>
        </is>
      </c>
      <c r="D11" t="inlineStr">
        <is>
          <t>abstract</t>
        </is>
      </c>
    </row>
    <row r="12">
      <c r="A12" t="inlineStr">
        <is>
          <t>abstract.by_section</t>
        </is>
      </c>
      <c r="B12" t="inlineStr">
        <is>
          <t>pass</t>
        </is>
      </c>
      <c r="C12" t="inlineStr">
        <is>
          <t>Every abstract row equals the BOM gross for that section/plate thickness.</t>
        </is>
      </c>
      <c r="D12" t="inlineStr">
        <is>
          <t>bom</t>
        </is>
      </c>
    </row>
    <row r="13">
      <c r="A13" t="inlineStr">
        <is>
          <t>title.drawing_no</t>
        </is>
      </c>
      <c r="B13" t="inlineStr">
        <is>
          <t>pass</t>
        </is>
      </c>
      <c r="C13" t="inlineStr">
        <is>
          <t>Drawing no. TST-SFD-46-01-01-07-000-16807 matches file name.</t>
        </is>
      </c>
      <c r="D13" t="inlineStr">
        <is>
          <t>title_block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Assembly</t>
        </is>
      </c>
      <c r="B2" t="inlineStr">
        <is>
          <t>2GU1 x 1</t>
        </is>
      </c>
    </row>
    <row r="3">
      <c r="A3" t="inlineStr">
        <is>
          <t>Total steel (kg, BOM gross x qty)</t>
        </is>
      </c>
      <c r="B3" t="n">
        <v>976.84</v>
      </c>
    </row>
    <row r="4">
      <c r="A4" t="inlineStr">
        <is>
          <t>Plates (kg)</t>
        </is>
      </c>
      <c r="B4" t="n">
        <v>746.1799999999999</v>
      </c>
    </row>
    <row r="5">
      <c r="A5" t="inlineStr">
        <is>
          <t>Sections (kg)</t>
        </is>
      </c>
      <c r="B5" t="n">
        <v>230.66</v>
      </c>
    </row>
    <row r="6">
      <c r="A6" t="inlineStr">
        <is>
          <t>Paint area (m2)</t>
        </is>
      </c>
      <c r="B6" t="n">
        <v>39.16</v>
      </c>
    </row>
    <row r="7">
      <c r="A7" t="inlineStr">
        <is>
          <t>Weld metal (kg, model-read estimate, unverified)</t>
        </is>
      </c>
      <c r="B7" t="n">
        <v>9.75</v>
      </c>
    </row>
    <row r="8">
      <c r="A8" t="inlineStr">
        <is>
          <t>Electrode (kg, model-read estimate, unverified)</t>
        </is>
      </c>
      <c r="B8" t="n">
        <v>16.25</v>
      </c>
    </row>
    <row r="9">
      <c r="A9" t="inlineStr">
        <is>
          <t>OpenAI model</t>
        </is>
      </c>
      <c r="B9" t="inlineStr">
        <is>
          <t>gpt-5.4-mini (sections) + gpt-5.5 (welds)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thickness_mm</t>
        </is>
      </c>
      <c r="B1" t="inlineStr">
        <is>
          <t>grade</t>
        </is>
      </c>
      <c r="C1" t="inlineStr">
        <is>
          <t>pieces</t>
        </is>
      </c>
      <c r="D1" t="inlineStr">
        <is>
          <t>area_m2</t>
        </is>
      </c>
      <c r="E1" t="inlineStr">
        <is>
          <t>weight_kg</t>
        </is>
      </c>
      <c r="F1" t="inlineStr">
        <is>
          <t>sources</t>
        </is>
      </c>
    </row>
    <row r="2">
      <c r="A2" t="n">
        <v>6</v>
      </c>
      <c r="B2" t="inlineStr">
        <is>
          <t>E350A</t>
        </is>
      </c>
      <c r="C2" t="n">
        <v>10</v>
      </c>
      <c r="D2" t="n">
        <v>13.931</v>
      </c>
      <c r="E2" t="n">
        <v>656.3200000000001</v>
      </c>
      <c r="F2" t="inlineStr">
        <is>
          <t>2GU1, 2p208, 2p209</t>
        </is>
      </c>
    </row>
    <row r="3">
      <c r="A3" t="n">
        <v>8</v>
      </c>
      <c r="B3" t="inlineStr">
        <is>
          <t>E350A</t>
        </is>
      </c>
      <c r="C3" t="n">
        <v>54</v>
      </c>
      <c r="D3" t="n">
        <v>1.431</v>
      </c>
      <c r="E3" t="n">
        <v>89.86</v>
      </c>
      <c r="F3" t="inlineStr">
        <is>
          <t>2p205, 2p206, 2p207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family</t>
        </is>
      </c>
      <c r="C1" t="inlineStr">
        <is>
          <t>grade</t>
        </is>
      </c>
      <c r="D1" t="inlineStr">
        <is>
          <t>pieces</t>
        </is>
      </c>
      <c r="E1" t="inlineStr">
        <is>
          <t>total_length_m</t>
        </is>
      </c>
      <c r="F1" t="inlineStr">
        <is>
          <t>weight_kg</t>
        </is>
      </c>
      <c r="G1" t="inlineStr">
        <is>
          <t>sources</t>
        </is>
      </c>
    </row>
    <row r="2">
      <c r="A2" t="inlineStr">
        <is>
          <t>ISA75X75X8</t>
        </is>
      </c>
      <c r="B2" t="inlineStr">
        <is>
          <t>angle</t>
        </is>
      </c>
      <c r="C2" t="inlineStr">
        <is>
          <t>E250A</t>
        </is>
      </c>
      <c r="D2" t="n">
        <v>1</v>
      </c>
      <c r="E2" t="n">
        <v>9.087999999999999</v>
      </c>
      <c r="F2" t="n">
        <v>81.18000000000001</v>
      </c>
      <c r="G2" t="inlineStr">
        <is>
          <t>2m273</t>
        </is>
      </c>
    </row>
    <row r="3">
      <c r="A3" t="inlineStr">
        <is>
          <t>ISMC150</t>
        </is>
      </c>
      <c r="B3" t="inlineStr">
        <is>
          <t>channel</t>
        </is>
      </c>
      <c r="C3" t="inlineStr">
        <is>
          <t>E250A</t>
        </is>
      </c>
      <c r="D3" t="n">
        <v>1</v>
      </c>
      <c r="E3" t="n">
        <v>9.087999999999999</v>
      </c>
      <c r="F3" t="n">
        <v>149.48</v>
      </c>
      <c r="G3" t="inlineStr">
        <is>
          <t>2m272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parts</t>
        </is>
      </c>
      <c r="B1" t="inlineStr">
        <is>
          <t>size_mm</t>
        </is>
      </c>
      <c r="C1" t="inlineStr">
        <is>
          <t>length_mm</t>
        </is>
      </c>
      <c r="D1" t="inlineStr">
        <is>
          <t>count</t>
        </is>
      </c>
      <c r="E1" t="inlineStr">
        <is>
          <t>edge</t>
        </is>
      </c>
      <c r="F1" t="inlineStr">
        <is>
          <t>sides</t>
        </is>
      </c>
      <c r="G1" t="inlineStr">
        <is>
          <t>tack</t>
        </is>
      </c>
      <c r="H1" t="inlineStr">
        <is>
          <t>evidence</t>
        </is>
      </c>
      <c r="I1" t="inlineStr">
        <is>
          <t>total_length_m</t>
        </is>
      </c>
      <c r="J1" t="inlineStr">
        <is>
          <t>weld_metal_kg</t>
        </is>
      </c>
    </row>
    <row r="2">
      <c r="A2" t="inlineStr">
        <is>
          <t>2m273, 2p208</t>
        </is>
      </c>
      <c r="B2" t="n">
        <v>5</v>
      </c>
      <c r="C2" t="n">
        <v>9088</v>
      </c>
      <c r="D2" t="n">
        <v>1</v>
      </c>
      <c r="E2" t="inlineStr">
        <is>
          <t>length</t>
        </is>
      </c>
      <c r="F2" t="n">
        <v>1</v>
      </c>
      <c r="G2" t="b">
        <v>0</v>
      </c>
      <c r="H2" t="inlineStr">
        <is>
          <t>Longitudinal view G3-G4: CONT. 5 weld callout at 2m273.</t>
        </is>
      </c>
      <c r="I2" t="n">
        <v>9.087999999999999</v>
      </c>
      <c r="J2" t="n">
        <v>0.892</v>
      </c>
    </row>
    <row r="3">
      <c r="A3" t="inlineStr">
        <is>
          <t>2m272, 2p208</t>
        </is>
      </c>
      <c r="B3" t="n">
        <v>5</v>
      </c>
      <c r="C3" t="n">
        <v>18176</v>
      </c>
      <c r="D3" t="n">
        <v>1</v>
      </c>
      <c r="E3" t="inlineStr">
        <is>
          <t>length</t>
        </is>
      </c>
      <c r="F3" t="n">
        <v>2</v>
      </c>
      <c r="G3" t="b">
        <v>0</v>
      </c>
      <c r="H3" t="inlineStr">
        <is>
          <t>Longitudinal view J4-J5: CONT. 5/5 weld callout at 2m272.</t>
        </is>
      </c>
      <c r="I3" t="n">
        <v>18.176</v>
      </c>
      <c r="J3" t="n">
        <v>1.784</v>
      </c>
    </row>
    <row r="4">
      <c r="A4" t="inlineStr">
        <is>
          <t>2p205, 2p208</t>
        </is>
      </c>
      <c r="B4" t="n">
        <v>5</v>
      </c>
      <c r="C4" t="n">
        <v>800.6</v>
      </c>
      <c r="D4" t="n">
        <v>18</v>
      </c>
      <c r="E4" t="inlineStr">
        <is>
          <t>length</t>
        </is>
      </c>
      <c r="F4" t="n">
        <v>2</v>
      </c>
      <c r="G4" t="b">
        <v>0</v>
      </c>
      <c r="H4" t="inlineStr">
        <is>
          <t>Section A-A, K-L: TYP. 5/5 weld callouts at 2p205; quantity from BOM.</t>
        </is>
      </c>
      <c r="I4" t="n">
        <v>14.411</v>
      </c>
      <c r="J4" t="n">
        <v>1.414</v>
      </c>
    </row>
    <row r="5">
      <c r="A5" t="inlineStr">
        <is>
          <t>2p206, 2p208</t>
        </is>
      </c>
      <c r="B5" t="n">
        <v>5</v>
      </c>
      <c r="C5" t="n">
        <v>1477.2</v>
      </c>
      <c r="D5" t="n">
        <v>18</v>
      </c>
      <c r="E5" t="inlineStr">
        <is>
          <t>length</t>
        </is>
      </c>
      <c r="F5" t="n">
        <v>2</v>
      </c>
      <c r="G5" t="b">
        <v>0</v>
      </c>
      <c r="H5" t="inlineStr">
        <is>
          <t>Section A-A, L3-L4: TYP. 5/5 weld callout at 2p206; quantity from BOM.</t>
        </is>
      </c>
      <c r="I5" t="n">
        <v>26.59</v>
      </c>
      <c r="J5" t="n">
        <v>2.609</v>
      </c>
    </row>
    <row r="6">
      <c r="A6" t="inlineStr">
        <is>
          <t>2p207, 2p208</t>
        </is>
      </c>
      <c r="B6" t="n">
        <v>5</v>
      </c>
      <c r="C6" t="n">
        <v>902.6</v>
      </c>
      <c r="D6" t="n">
        <v>18</v>
      </c>
      <c r="E6" t="inlineStr">
        <is>
          <t>length</t>
        </is>
      </c>
      <c r="F6" t="n">
        <v>2</v>
      </c>
      <c r="G6" t="b">
        <v>0</v>
      </c>
      <c r="H6" t="inlineStr">
        <is>
          <t>Section A-A, L4-L5: TYP. 5/5 weld callout at 2p207; quantity from BOM.</t>
        </is>
      </c>
      <c r="I6" t="n">
        <v>16.247</v>
      </c>
      <c r="J6" t="n">
        <v>1.594</v>
      </c>
    </row>
    <row r="7">
      <c r="A7" t="inlineStr">
        <is>
          <t>2p209, 2p208</t>
        </is>
      </c>
      <c r="B7" t="n">
        <v>5</v>
      </c>
      <c r="C7" t="n">
        <v>2974.8</v>
      </c>
      <c r="D7" t="n">
        <v>5</v>
      </c>
      <c r="E7" t="inlineStr">
        <is>
          <t>perimeter</t>
        </is>
      </c>
      <c r="F7" t="n">
        <v>1</v>
      </c>
      <c r="G7" t="b">
        <v>0</v>
      </c>
      <c r="H7" t="inlineStr">
        <is>
          <t>Longitudinal view H20 / tile 3 H: '3 SIDES TYP.' with 5 mm weld callout at 2p209; quantity from BOM.</t>
        </is>
      </c>
      <c r="I7" t="n">
        <v>14.874</v>
      </c>
      <c r="J7" t="n">
        <v>1.46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level</t>
        </is>
      </c>
      <c r="C1" t="inlineStr">
        <is>
          <t>message</t>
        </is>
      </c>
      <c r="D1" t="inlineStr">
        <is>
          <t>region</t>
        </is>
      </c>
    </row>
    <row r="2">
      <c r="A2" t="inlineStr">
        <is>
          <t>boq.drawing_weight</t>
        </is>
      </c>
      <c r="B2" t="inlineStr">
        <is>
          <t>pass</t>
        </is>
      </c>
      <c r="C2" t="inlineStr">
        <is>
          <t>BOQ total drawing weight 976.84 kg; BOM gross total 976.84 kg.</t>
        </is>
      </c>
      <c r="D2" t="inlineStr">
        <is>
          <t>inventory</t>
        </is>
      </c>
    </row>
    <row r="3">
      <c r="A3" t="inlineStr">
        <is>
          <t>boq.calculated</t>
        </is>
      </c>
      <c r="B3" t="inlineStr">
        <is>
          <t>pass</t>
        </is>
      </c>
      <c r="C3" t="inlineStr">
        <is>
          <t>BOQ calculated 979.59 kg vs drawing 976.84 kg (+2.75 kg).</t>
        </is>
      </c>
      <c r="D3" t="inlineStr">
        <is>
          <t>inventory</t>
        </is>
      </c>
    </row>
    <row r="4">
      <c r="A4" t="inlineStr">
        <is>
          <t>inventory.unclassified</t>
        </is>
      </c>
      <c r="B4" t="inlineStr">
        <is>
          <t>pass</t>
        </is>
      </c>
      <c r="C4" t="inlineStr">
        <is>
          <t>Every BOM member is classified.</t>
        </is>
      </c>
      <c r="D4" t="inlineStr">
        <is>
          <t>inventory</t>
        </is>
      </c>
    </row>
    <row r="5">
      <c r="A5" t="inlineStr">
        <is>
          <t>inventory.welds</t>
        </is>
      </c>
      <c r="B5" t="inlineStr">
        <is>
          <t>pass</t>
        </is>
      </c>
      <c r="C5" t="inlineStr">
        <is>
          <t>6 weld runs accepted</t>
        </is>
      </c>
      <c r="D5" t="inlineStr">
        <is>
          <t>inventory</t>
        </is>
      </c>
    </row>
    <row r="6">
      <c r="A6" t="inlineStr">
        <is>
          <t>inventory.weld_estimate</t>
        </is>
      </c>
      <c r="B6" t="inlineStr">
        <is>
          <t>warn</t>
        </is>
      </c>
      <c r="C6" t="inlineStr">
        <is>
          <t>Weld metal 9.75 kg (1.00% of steel; fabricated steel is typically 1-2%) is a model-read estimate, unverified: topology read by OpenAI, lengths computed from the BOM, tack welds excluded.</t>
        </is>
      </c>
      <c r="D6" t="inlineStr">
        <is>
          <t>inventory</t>
        </is>
      </c>
    </row>
    <row r="7">
      <c r="A7" t="inlineStr">
        <is>
          <t>inventory.weight</t>
        </is>
      </c>
      <c r="B7" t="inlineStr">
        <is>
          <t>pass</t>
        </is>
      </c>
      <c r="C7" t="inlineStr">
        <is>
          <t>Plates + sections = 976.84 kg; BOM gross total = 976.84 kg.</t>
        </is>
      </c>
      <c r="D7" t="inlineStr">
        <is>
          <t>inventory</t>
        </is>
      </c>
    </row>
    <row r="8">
      <c r="A8" t="inlineStr">
        <is>
          <t>inventory.paint</t>
        </is>
      </c>
      <c r="B8" t="inlineStr">
        <is>
          <t>pass</t>
        </is>
      </c>
      <c r="C8" t="inlineStr">
        <is>
          <t>Paint area 39.16 m² (BOM total); Σ row area × qty = 39.06 m².</t>
        </is>
      </c>
      <c r="D8" t="inlineStr">
        <is>
          <t>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2026-09-19T15:07:29Z</dcterms:created>
  <dcterms:modified xsi:type="dcterms:W3CDTF">2026-09-19T15:07:29Z</dcterms:modified>
</cp:coreProperties>
</file>